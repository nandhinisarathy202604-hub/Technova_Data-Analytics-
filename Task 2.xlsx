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owmy\OneDrive\Desktop\Nan and Sow\Nandhini CLG and CA\Technova internship\"/>
    </mc:Choice>
  </mc:AlternateContent>
  <xr:revisionPtr revIDLastSave="0" documentId="13_ncr:1_{5D096308-67A8-47A0-948A-17A494115D2D}" xr6:coauthVersionLast="47" xr6:coauthVersionMax="47" xr10:uidLastSave="{00000000-0000-0000-0000-000000000000}"/>
  <bookViews>
    <workbookView xWindow="-108" yWindow="-108" windowWidth="23256" windowHeight="12456" xr2:uid="{F75FCD8A-B39C-41D7-9BCD-A4C5BFFE5366}"/>
  </bookViews>
  <sheets>
    <sheet name="DATA " sheetId="1" r:id="rId1"/>
    <sheet name="Pivot Table" sheetId="3" r:id="rId2"/>
    <sheet name="RFM" sheetId="4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4" l="1" a="1"/>
  <c r="I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<sst xmlns="http://schemas.openxmlformats.org/spreadsheetml/2006/main" count="202" uniqueCount="91">
  <si>
    <t>Customer ID</t>
  </si>
  <si>
    <t>Customer Name</t>
  </si>
  <si>
    <t>Segment</t>
  </si>
  <si>
    <t>Purchase Date</t>
  </si>
  <si>
    <t>Order ID</t>
  </si>
  <si>
    <t>Product</t>
  </si>
  <si>
    <t>Quantity</t>
  </si>
  <si>
    <t>Unit Price</t>
  </si>
  <si>
    <t>C001</t>
  </si>
  <si>
    <t>Aarav</t>
  </si>
  <si>
    <t>Premium</t>
  </si>
  <si>
    <t>O1001</t>
  </si>
  <si>
    <t>Laptop</t>
  </si>
  <si>
    <t>O1002</t>
  </si>
  <si>
    <t>Headphones</t>
  </si>
  <si>
    <t>O1003</t>
  </si>
  <si>
    <t>Smartwatch</t>
  </si>
  <si>
    <t>C002</t>
  </si>
  <si>
    <t>Diya</t>
  </si>
  <si>
    <t>Regular</t>
  </si>
  <si>
    <t>O1004</t>
  </si>
  <si>
    <t>Smartphone</t>
  </si>
  <si>
    <t>O1005</t>
  </si>
  <si>
    <t>Earbuds</t>
  </si>
  <si>
    <t>C003</t>
  </si>
  <si>
    <t>Rohan</t>
  </si>
  <si>
    <t>Occasional</t>
  </si>
  <si>
    <t>O1006</t>
  </si>
  <si>
    <t>Tablet</t>
  </si>
  <si>
    <t>C004</t>
  </si>
  <si>
    <t>Meera</t>
  </si>
  <si>
    <t>O1007</t>
  </si>
  <si>
    <t>O1008</t>
  </si>
  <si>
    <t>Mouse</t>
  </si>
  <si>
    <t>O1009</t>
  </si>
  <si>
    <t>Keyboard</t>
  </si>
  <si>
    <t>O1010</t>
  </si>
  <si>
    <t>Monitor</t>
  </si>
  <si>
    <t>C005</t>
  </si>
  <si>
    <t>Karan</t>
  </si>
  <si>
    <t>O1011</t>
  </si>
  <si>
    <t>O1012</t>
  </si>
  <si>
    <t>Power Bank</t>
  </si>
  <si>
    <t>C006</t>
  </si>
  <si>
    <t>Ananya</t>
  </si>
  <si>
    <t>O1013</t>
  </si>
  <si>
    <t>C007</t>
  </si>
  <si>
    <t>Vikram</t>
  </si>
  <si>
    <t>O1014</t>
  </si>
  <si>
    <t>O1015</t>
  </si>
  <si>
    <t>C008</t>
  </si>
  <si>
    <t>Ishita</t>
  </si>
  <si>
    <t>O1016</t>
  </si>
  <si>
    <t>O1017</t>
  </si>
  <si>
    <t>O1018</t>
  </si>
  <si>
    <t>C009</t>
  </si>
  <si>
    <t>Arjun</t>
  </si>
  <si>
    <t>O1019</t>
  </si>
  <si>
    <t>C010</t>
  </si>
  <si>
    <t>Sneha</t>
  </si>
  <si>
    <t>O1020</t>
  </si>
  <si>
    <t>O1021</t>
  </si>
  <si>
    <t>C011</t>
  </si>
  <si>
    <t>Rahul</t>
  </si>
  <si>
    <t>O1022</t>
  </si>
  <si>
    <t>C012</t>
  </si>
  <si>
    <t>Priya</t>
  </si>
  <si>
    <t>O1023</t>
  </si>
  <si>
    <t>O1024</t>
  </si>
  <si>
    <t>O1025</t>
  </si>
  <si>
    <t>C013</t>
  </si>
  <si>
    <t>Aditya</t>
  </si>
  <si>
    <t>O1026</t>
  </si>
  <si>
    <t>O1027</t>
  </si>
  <si>
    <t>C014</t>
  </si>
  <si>
    <t>Kavya</t>
  </si>
  <si>
    <t>O1028</t>
  </si>
  <si>
    <t>C015</t>
  </si>
  <si>
    <t>Neha</t>
  </si>
  <si>
    <t>O1029</t>
  </si>
  <si>
    <t>O1030</t>
  </si>
  <si>
    <t>Invoice date</t>
  </si>
  <si>
    <t>Row Labels</t>
  </si>
  <si>
    <t>Grand Total</t>
  </si>
  <si>
    <t>Count of Order ID</t>
  </si>
  <si>
    <t>Sales</t>
  </si>
  <si>
    <t>Max of Purchase Date</t>
  </si>
  <si>
    <t>Sum of Sales</t>
  </si>
  <si>
    <t xml:space="preserve">Recency </t>
  </si>
  <si>
    <t xml:space="preserve">Frequency </t>
  </si>
  <si>
    <t xml:space="preserve">Monetary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</si>
</sst>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14" fontId="0" fillId="0" borderId="0" xfId="0" applyNumberFormat="1"/>
    <xf numFmtId="0" fontId="1" fillId="0" borderId="3" xfId="0" applyFont="1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1" fillId="3" borderId="2" xfId="0" applyFont="1" applyFill="1" applyBorder="1"/>
    <xf numFmtId="14" fontId="1" fillId="3" borderId="2" xfId="0" applyNumberFormat="1" applyFont="1" applyFill="1" applyBorder="1"/>
    <xf numFmtId="0" fontId="1" fillId="2" borderId="1" xfId="0" applyFont="1" applyFill="1" applyBorder="1"/>
    <xf numFmtId="0" fontId="0" fillId="0" borderId="1" xfId="0" applyBorder="1"/>
    <xf numFmtId="0" fontId="1" fillId="4" borderId="1" xfId="0" applyFont="1" applyFill="1" applyBorder="1"/>
    <xf numFmtId="14" fontId="1" fillId="2" borderId="1" xfId="0" applyNumberFormat="1" applyFont="1" applyFill="1" applyBorder="1"/>
    <xf numFmtId="0" fontId="0" fillId="0" borderId="1" xfId="0" applyBorder="1" applyAlignment="1">
      <alignment horizontal="left"/>
    </xf>
    <xf numFmtId="14" fontId="0" fillId="0" borderId="1" xfId="0" applyNumberFormat="1" applyBorder="1"/>
    <xf numFmtId="0" fontId="0" fillId="0" borderId="1" xfId="0" pivotButton="1" applyBorder="1"/>
    <xf numFmtId="15" fontId="0" fillId="0" borderId="1" xfId="0" applyNumberFormat="1" applyBorder="1"/>
    <xf numFmtId="0" fontId="1" fillId="0" borderId="3" xfId="0" applyFont="1" applyBorder="1" applyAlignment="1">
      <alignment horizontal="right" vertical="center"/>
    </xf>
    <xf numFmtId="0" fontId="1" fillId="3" borderId="0" xfId="0" applyFont="1" applyFill="1"/>
    <xf numFmtId="0" fontId="1" fillId="5" borderId="0" xfId="0" applyFont="1" applyFill="1"/>
    <xf numFmtId="1" fontId="0" fillId="5" borderId="1" xfId="0" applyNumberFormat="1" applyFill="1" applyBorder="1"/>
    <xf numFmtId="0" fontId="0" fillId="0" borderId="4" xfId="0" applyBorder="1" applyAlignment="1">
      <alignment vertical="center" wrapText="1"/>
    </xf>
    <xf numFmtId="15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horizontal="righ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2.xlsx]Pivot Table!PivotTable2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Table'!$B$4:$B$19</c:f>
              <c:strCache>
                <c:ptCount val="15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  <c:pt idx="6">
                  <c:v>C007</c:v>
                </c:pt>
                <c:pt idx="7">
                  <c:v>C008</c:v>
                </c:pt>
                <c:pt idx="8">
                  <c:v>C009</c:v>
                </c:pt>
                <c:pt idx="9">
                  <c:v>C010</c:v>
                </c:pt>
                <c:pt idx="10">
                  <c:v>C011</c:v>
                </c:pt>
                <c:pt idx="11">
                  <c:v>C012</c:v>
                </c:pt>
                <c:pt idx="12">
                  <c:v>C013</c:v>
                </c:pt>
                <c:pt idx="13">
                  <c:v>C014</c:v>
                </c:pt>
                <c:pt idx="14">
                  <c:v>C015</c:v>
                </c:pt>
              </c:strCache>
            </c:strRef>
          </c:cat>
          <c:val>
            <c:numRef>
              <c:f>'Pivot Table'!$C$4:$C$19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8-4E2B-9574-D7BA6359C7E4}"/>
            </c:ext>
          </c:extLst>
        </c:ser>
        <c:ser>
          <c:idx val="1"/>
          <c:order val="1"/>
          <c:tx>
            <c:strRef>
              <c:f>'Pivot Table'!$D$3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Table'!$B$4:$B$19</c:f>
              <c:strCache>
                <c:ptCount val="15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  <c:pt idx="6">
                  <c:v>C007</c:v>
                </c:pt>
                <c:pt idx="7">
                  <c:v>C008</c:v>
                </c:pt>
                <c:pt idx="8">
                  <c:v>C009</c:v>
                </c:pt>
                <c:pt idx="9">
                  <c:v>C010</c:v>
                </c:pt>
                <c:pt idx="10">
                  <c:v>C011</c:v>
                </c:pt>
                <c:pt idx="11">
                  <c:v>C012</c:v>
                </c:pt>
                <c:pt idx="12">
                  <c:v>C013</c:v>
                </c:pt>
                <c:pt idx="13">
                  <c:v>C014</c:v>
                </c:pt>
                <c:pt idx="14">
                  <c:v>C015</c:v>
                </c:pt>
              </c:strCache>
            </c:strRef>
          </c:cat>
          <c:val>
            <c:numRef>
              <c:f>'Pivot Table'!$D$4:$D$19</c:f>
              <c:numCache>
                <c:formatCode>General</c:formatCode>
                <c:ptCount val="15"/>
                <c:pt idx="0">
                  <c:v>80000</c:v>
                </c:pt>
                <c:pt idx="1">
                  <c:v>30500</c:v>
                </c:pt>
                <c:pt idx="2">
                  <c:v>22000</c:v>
                </c:pt>
                <c:pt idx="3">
                  <c:v>94900</c:v>
                </c:pt>
                <c:pt idx="4">
                  <c:v>35600</c:v>
                </c:pt>
                <c:pt idx="5">
                  <c:v>4500</c:v>
                </c:pt>
                <c:pt idx="6">
                  <c:v>11900</c:v>
                </c:pt>
                <c:pt idx="7">
                  <c:v>112000</c:v>
                </c:pt>
                <c:pt idx="8">
                  <c:v>26000</c:v>
                </c:pt>
                <c:pt idx="9">
                  <c:v>25000</c:v>
                </c:pt>
                <c:pt idx="10">
                  <c:v>16000</c:v>
                </c:pt>
                <c:pt idx="11">
                  <c:v>57500</c:v>
                </c:pt>
                <c:pt idx="12">
                  <c:v>56000</c:v>
                </c:pt>
                <c:pt idx="13">
                  <c:v>21000</c:v>
                </c:pt>
                <c:pt idx="14">
                  <c:v>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68-4E2B-9574-D7BA6359C7E4}"/>
            </c:ext>
          </c:extLst>
        </c:ser>
        <c:ser>
          <c:idx val="2"/>
          <c:order val="2"/>
          <c:tx>
            <c:strRef>
              <c:f>'Pivot Table'!$E$3</c:f>
              <c:strCache>
                <c:ptCount val="1"/>
                <c:pt idx="0">
                  <c:v>Max of Purchase Date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Table'!$B$4:$B$19</c:f>
              <c:strCache>
                <c:ptCount val="15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  <c:pt idx="6">
                  <c:v>C007</c:v>
                </c:pt>
                <c:pt idx="7">
                  <c:v>C008</c:v>
                </c:pt>
                <c:pt idx="8">
                  <c:v>C009</c:v>
                </c:pt>
                <c:pt idx="9">
                  <c:v>C010</c:v>
                </c:pt>
                <c:pt idx="10">
                  <c:v>C011</c:v>
                </c:pt>
                <c:pt idx="11">
                  <c:v>C012</c:v>
                </c:pt>
                <c:pt idx="12">
                  <c:v>C013</c:v>
                </c:pt>
                <c:pt idx="13">
                  <c:v>C014</c:v>
                </c:pt>
                <c:pt idx="14">
                  <c:v>C015</c:v>
                </c:pt>
              </c:strCache>
            </c:strRef>
          </c:cat>
          <c:val>
            <c:numRef>
              <c:f>'Pivot Table'!$E$4:$E$19</c:f>
              <c:numCache>
                <c:formatCode>m/d/yyyy</c:formatCode>
                <c:ptCount val="15"/>
                <c:pt idx="0">
                  <c:v>46290</c:v>
                </c:pt>
                <c:pt idx="1">
                  <c:v>46285</c:v>
                </c:pt>
                <c:pt idx="2">
                  <c:v>46154</c:v>
                </c:pt>
                <c:pt idx="3">
                  <c:v>46293</c:v>
                </c:pt>
                <c:pt idx="4">
                  <c:v>46280</c:v>
                </c:pt>
                <c:pt idx="5">
                  <c:v>46061</c:v>
                </c:pt>
                <c:pt idx="6">
                  <c:v>46287</c:v>
                </c:pt>
                <c:pt idx="7">
                  <c:v>46294</c:v>
                </c:pt>
                <c:pt idx="8">
                  <c:v>46091</c:v>
                </c:pt>
                <c:pt idx="9">
                  <c:v>46291</c:v>
                </c:pt>
                <c:pt idx="10">
                  <c:v>46037</c:v>
                </c:pt>
                <c:pt idx="11">
                  <c:v>46292</c:v>
                </c:pt>
                <c:pt idx="12">
                  <c:v>46283</c:v>
                </c:pt>
                <c:pt idx="13">
                  <c:v>46117</c:v>
                </c:pt>
                <c:pt idx="14">
                  <c:v>46289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68-4E2B-9574-D7BA6359C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859072"/>
        <c:axId val="470860032"/>
      </c:barChart>
      <c:catAx>
        <c:axId val="47085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860032"/>
        <c:crosses val="autoZero"/>
        <c:auto val="1"/>
        <c:lblAlgn val="ctr"/>
        <c:lblOffset val="100"/>
        <c:noMultiLvlLbl val="0"/>
      </c:catAx>
      <c:valAx>
        <c:axId val="47086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85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RFM!$I$3</c:f>
              <c:strCache>
                <c:ptCount val="1"/>
                <c:pt idx="0">
                  <c:v>Recency 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val>
            <c:numRef>
              <c:f>RFM!$I$4:$I$18</c:f>
              <c:numCache>
                <c:formatCode>General</c:formatCode>
                <c:ptCount val="15"/>
                <c:pt idx="0" formatCode="0">
                  <c:v>5</c:v>
                </c:pt>
                <c:pt idx="1">
                  <c:v>10</c:v>
                </c:pt>
                <c:pt idx="2">
                  <c:v>141</c:v>
                </c:pt>
                <c:pt idx="3">
                  <c:v>2</c:v>
                </c:pt>
                <c:pt idx="4">
                  <c:v>15</c:v>
                </c:pt>
                <c:pt idx="5">
                  <c:v>234</c:v>
                </c:pt>
                <c:pt idx="6">
                  <c:v>8</c:v>
                </c:pt>
                <c:pt idx="7">
                  <c:v>1</c:v>
                </c:pt>
                <c:pt idx="8">
                  <c:v>204</c:v>
                </c:pt>
                <c:pt idx="9">
                  <c:v>4</c:v>
                </c:pt>
                <c:pt idx="10">
                  <c:v>258</c:v>
                </c:pt>
                <c:pt idx="11">
                  <c:v>3</c:v>
                </c:pt>
                <c:pt idx="12">
                  <c:v>12</c:v>
                </c:pt>
                <c:pt idx="13">
                  <c:v>178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6-4FB3-952C-017F65668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553252415"/>
        <c:axId val="1553270655"/>
      </c:areaChart>
      <c:catAx>
        <c:axId val="1553252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270655"/>
        <c:crosses val="autoZero"/>
        <c:auto val="1"/>
        <c:lblAlgn val="ctr"/>
        <c:lblOffset val="100"/>
        <c:noMultiLvlLbl val="0"/>
      </c:catAx>
      <c:valAx>
        <c:axId val="15532706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252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2</xdr:row>
      <xdr:rowOff>125730</xdr:rowOff>
    </xdr:from>
    <xdr:to>
      <xdr:col>16</xdr:col>
      <xdr:colOff>281940</xdr:colOff>
      <xdr:row>17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C3D607-9722-6BD1-7F39-9E348945B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388620</xdr:colOff>
      <xdr:row>2</xdr:row>
      <xdr:rowOff>26670</xdr:rowOff>
    </xdr:from>
    <xdr:to>
      <xdr:col>15</xdr:col>
      <xdr:colOff>68580</xdr:colOff>
      <xdr:row>17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00AF6E-D13E-8BB6-14B1-50920F030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shwarya Nandhini" refreshedDate="46298.710250231481" createdVersion="8" refreshedVersion="8" minRefreshableVersion="3" recordCount="30" xr:uid="{B55FDC5A-F179-4029-BCFF-6FA8917A3B0B}">
  <cacheSource type="worksheet">
    <worksheetSource ref="C4:L34" sheet="DATA "/>
  </cacheSource>
  <cacheFields count="10">
    <cacheField name="Customer ID" numFmtId="0">
      <sharedItems count="15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</sharedItems>
    </cacheField>
    <cacheField name="Customer Name" numFmtId="0">
      <sharedItems/>
    </cacheField>
    <cacheField name="Segment" numFmtId="0">
      <sharedItems/>
    </cacheField>
    <cacheField name="Invoice date" numFmtId="15">
      <sharedItems containsSemiMixedTypes="0" containsNonDate="0" containsDate="1" containsString="0" minDate="2026-09-30T00:00:00" maxDate="2026-10-01T00:00:00" count="1">
        <d v="2026-09-30T00:00:00"/>
      </sharedItems>
    </cacheField>
    <cacheField name="Purchase Date" numFmtId="15">
      <sharedItems containsSemiMixedTypes="0" containsNonDate="0" containsDate="1" containsString="0" minDate="2026-01-15T00:00:00" maxDate="2026-09-30T00:00:00"/>
    </cacheField>
    <cacheField name="Order ID" numFmtId="0">
      <sharedItems count="30">
        <s v="O1001"/>
        <s v="O1002"/>
        <s v="O1003"/>
        <s v="O1004"/>
        <s v="O1005"/>
        <s v="O1006"/>
        <s v="O1007"/>
        <s v="O1008"/>
        <s v="O1009"/>
        <s v="O1010"/>
        <s v="O1011"/>
        <s v="O1012"/>
        <s v="O1013"/>
        <s v="O1014"/>
        <s v="O1015"/>
        <s v="O1016"/>
        <s v="O1017"/>
        <s v="O1018"/>
        <s v="O1019"/>
        <s v="O1020"/>
        <s v="O1021"/>
        <s v="O1022"/>
        <s v="O1023"/>
        <s v="O1024"/>
        <s v="O1025"/>
        <s v="O1026"/>
        <s v="O1027"/>
        <s v="O1028"/>
        <s v="O1029"/>
        <s v="O1030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2"/>
    </cacheField>
    <cacheField name="Unit Price" numFmtId="0">
      <sharedItems containsSemiMixedTypes="0" containsString="0" containsNumber="1" containsInteger="1" minValue="1000" maxValue="72000"/>
    </cacheField>
    <cacheField name="Sales" numFmtId="0">
      <sharedItems containsSemiMixedTypes="0" containsString="0" containsNumber="1" containsInteger="1" minValue="1000" maxValue="7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Aarav"/>
    <s v="Premium"/>
    <x v="0"/>
    <d v="2026-09-25T00:00:00"/>
    <x v="0"/>
    <s v="Laptop"/>
    <n v="1"/>
    <n v="65000"/>
    <n v="65000"/>
  </r>
  <r>
    <x v="0"/>
    <s v="Aarav"/>
    <s v="Premium"/>
    <x v="0"/>
    <d v="2026-08-10T00:00:00"/>
    <x v="1"/>
    <s v="Headphones"/>
    <n v="2"/>
    <n v="3500"/>
    <n v="7000"/>
  </r>
  <r>
    <x v="0"/>
    <s v="Aarav"/>
    <s v="Premium"/>
    <x v="0"/>
    <d v="2026-06-15T00:00:00"/>
    <x v="2"/>
    <s v="Smartwatch"/>
    <n v="1"/>
    <n v="8000"/>
    <n v="8000"/>
  </r>
  <r>
    <x v="1"/>
    <s v="Diya"/>
    <s v="Regular"/>
    <x v="0"/>
    <d v="2026-09-20T00:00:00"/>
    <x v="3"/>
    <s v="Smartphone"/>
    <n v="1"/>
    <n v="28000"/>
    <n v="28000"/>
  </r>
  <r>
    <x v="1"/>
    <s v="Diya"/>
    <s v="Regular"/>
    <x v="0"/>
    <d v="2026-07-05T00:00:00"/>
    <x v="4"/>
    <s v="Earbuds"/>
    <n v="1"/>
    <n v="2500"/>
    <n v="2500"/>
  </r>
  <r>
    <x v="2"/>
    <s v="Rohan"/>
    <s v="Occasional"/>
    <x v="0"/>
    <d v="2026-05-12T00:00:00"/>
    <x v="5"/>
    <s v="Tablet"/>
    <n v="1"/>
    <n v="22000"/>
    <n v="22000"/>
  </r>
  <r>
    <x v="3"/>
    <s v="Meera"/>
    <s v="Premium"/>
    <x v="0"/>
    <d v="2026-09-28T00:00:00"/>
    <x v="6"/>
    <s v="Laptop"/>
    <n v="1"/>
    <n v="72000"/>
    <n v="72000"/>
  </r>
  <r>
    <x v="3"/>
    <s v="Meera"/>
    <s v="Premium"/>
    <x v="0"/>
    <d v="2026-08-18T00:00:00"/>
    <x v="7"/>
    <s v="Mouse"/>
    <n v="2"/>
    <n v="1200"/>
    <n v="2400"/>
  </r>
  <r>
    <x v="3"/>
    <s v="Meera"/>
    <s v="Premium"/>
    <x v="0"/>
    <d v="2026-06-20T00:00:00"/>
    <x v="8"/>
    <s v="Keyboard"/>
    <n v="1"/>
    <n v="2500"/>
    <n v="2500"/>
  </r>
  <r>
    <x v="3"/>
    <s v="Meera"/>
    <s v="Premium"/>
    <x v="0"/>
    <d v="2026-04-10T00:00:00"/>
    <x v="9"/>
    <s v="Monitor"/>
    <n v="1"/>
    <n v="18000"/>
    <n v="18000"/>
  </r>
  <r>
    <x v="4"/>
    <s v="Karan"/>
    <s v="Regular"/>
    <x v="0"/>
    <d v="2026-09-15T00:00:00"/>
    <x v="10"/>
    <s v="Smartphone"/>
    <n v="1"/>
    <n v="32000"/>
    <n v="32000"/>
  </r>
  <r>
    <x v="4"/>
    <s v="Karan"/>
    <s v="Regular"/>
    <x v="0"/>
    <d v="2026-05-25T00:00:00"/>
    <x v="11"/>
    <s v="Power Bank"/>
    <n v="2"/>
    <n v="1800"/>
    <n v="3600"/>
  </r>
  <r>
    <x v="5"/>
    <s v="Ananya"/>
    <s v="Occasional"/>
    <x v="0"/>
    <d v="2026-02-08T00:00:00"/>
    <x v="12"/>
    <s v="Headphones"/>
    <n v="1"/>
    <n v="4500"/>
    <n v="4500"/>
  </r>
  <r>
    <x v="6"/>
    <s v="Vikram"/>
    <s v="Regular"/>
    <x v="0"/>
    <d v="2026-09-22T00:00:00"/>
    <x v="13"/>
    <s v="Smartwatch"/>
    <n v="1"/>
    <n v="7500"/>
    <n v="7500"/>
  </r>
  <r>
    <x v="6"/>
    <s v="Vikram"/>
    <s v="Regular"/>
    <x v="0"/>
    <d v="2026-07-12T00:00:00"/>
    <x v="14"/>
    <s v="Earbuds"/>
    <n v="2"/>
    <n v="2200"/>
    <n v="4400"/>
  </r>
  <r>
    <x v="7"/>
    <s v="Ishita"/>
    <s v="Premium"/>
    <x v="0"/>
    <d v="2026-09-29T00:00:00"/>
    <x v="15"/>
    <s v="Laptop"/>
    <n v="1"/>
    <n v="58000"/>
    <n v="58000"/>
  </r>
  <r>
    <x v="7"/>
    <s v="Ishita"/>
    <s v="Premium"/>
    <x v="0"/>
    <d v="2026-08-01T00:00:00"/>
    <x v="16"/>
    <s v="Smartphone"/>
    <n v="1"/>
    <n v="30000"/>
    <n v="30000"/>
  </r>
  <r>
    <x v="7"/>
    <s v="Ishita"/>
    <s v="Premium"/>
    <x v="0"/>
    <d v="2026-05-15T00:00:00"/>
    <x v="17"/>
    <s v="Tablet"/>
    <n v="1"/>
    <n v="24000"/>
    <n v="24000"/>
  </r>
  <r>
    <x v="8"/>
    <s v="Arjun"/>
    <s v="Occasional"/>
    <x v="0"/>
    <d v="2026-03-10T00:00:00"/>
    <x v="18"/>
    <s v="Smartphone"/>
    <n v="1"/>
    <n v="26000"/>
    <n v="26000"/>
  </r>
  <r>
    <x v="9"/>
    <s v="Sneha"/>
    <s v="Regular"/>
    <x v="0"/>
    <d v="2026-09-26T00:00:00"/>
    <x v="19"/>
    <s v="Tablet"/>
    <n v="1"/>
    <n v="20000"/>
    <n v="20000"/>
  </r>
  <r>
    <x v="9"/>
    <s v="Sneha"/>
    <s v="Regular"/>
    <x v="0"/>
    <d v="2026-06-05T00:00:00"/>
    <x v="20"/>
    <s v="Headphones"/>
    <n v="1"/>
    <n v="5000"/>
    <n v="5000"/>
  </r>
  <r>
    <x v="10"/>
    <s v="Rahul"/>
    <s v="Occasional"/>
    <x v="0"/>
    <d v="2026-01-15T00:00:00"/>
    <x v="21"/>
    <s v="Monitor"/>
    <n v="1"/>
    <n v="16000"/>
    <n v="16000"/>
  </r>
  <r>
    <x v="11"/>
    <s v="Priya"/>
    <s v="Premium"/>
    <x v="0"/>
    <d v="2026-09-27T00:00:00"/>
    <x v="22"/>
    <s v="Smartphone"/>
    <n v="1"/>
    <n v="45000"/>
    <n v="45000"/>
  </r>
  <r>
    <x v="11"/>
    <s v="Priya"/>
    <s v="Premium"/>
    <x v="0"/>
    <d v="2026-08-15T00:00:00"/>
    <x v="23"/>
    <s v="Smartwatch"/>
    <n v="1"/>
    <n v="9500"/>
    <n v="9500"/>
  </r>
  <r>
    <x v="11"/>
    <s v="Priya"/>
    <s v="Premium"/>
    <x v="0"/>
    <d v="2026-07-10T00:00:00"/>
    <x v="24"/>
    <s v="Earbuds"/>
    <n v="1"/>
    <n v="3000"/>
    <n v="3000"/>
  </r>
  <r>
    <x v="12"/>
    <s v="Aditya"/>
    <s v="Regular"/>
    <x v="0"/>
    <d v="2026-09-18T00:00:00"/>
    <x v="25"/>
    <s v="Laptop"/>
    <n v="1"/>
    <n v="55000"/>
    <n v="55000"/>
  </r>
  <r>
    <x v="12"/>
    <s v="Aditya"/>
    <s v="Regular"/>
    <x v="0"/>
    <d v="2026-04-20T00:00:00"/>
    <x v="26"/>
    <s v="Mouse"/>
    <n v="1"/>
    <n v="1000"/>
    <n v="1000"/>
  </r>
  <r>
    <x v="13"/>
    <s v="Kavya"/>
    <s v="Occasional"/>
    <x v="0"/>
    <d v="2026-04-05T00:00:00"/>
    <x v="27"/>
    <s v="Tablet"/>
    <n v="1"/>
    <n v="21000"/>
    <n v="21000"/>
  </r>
  <r>
    <x v="14"/>
    <s v="Neha"/>
    <s v="Regular"/>
    <x v="0"/>
    <d v="2026-09-24T00:00:00"/>
    <x v="28"/>
    <s v="Smartphone"/>
    <n v="1"/>
    <n v="27000"/>
    <n v="27000"/>
  </r>
  <r>
    <x v="14"/>
    <s v="Neha"/>
    <s v="Regular"/>
    <x v="0"/>
    <d v="2026-06-15T00:00:00"/>
    <x v="29"/>
    <s v="Power Bank"/>
    <n v="1"/>
    <n v="2000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E8C5B-578A-4590-B1F5-7CBEE2887D6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3:E19" firstHeaderRow="0" firstDataRow="1" firstDataCol="1"/>
  <pivotFields count="10"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numFmtId="15" showAll="0">
      <items count="2">
        <item x="0"/>
        <item t="default"/>
      </items>
    </pivotField>
    <pivotField dataField="1" numFmtId="15" showAll="0"/>
    <pivotField dataFiel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 ID" fld="5" subtotal="count" baseField="0" baseItem="0"/>
    <dataField name="Sum of Sales" fld="9" baseField="0" baseItem="0"/>
    <dataField name="Max of Purchase Date" fld="4" subtotal="max" baseField="0" baseItem="0" numFmtId="15"/>
  </dataFields>
  <formats count="8">
    <format dxfId="7">
      <pivotArea collapsedLevelsAreSubtotals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D69F-A61C-4664-A53C-3258E1C1CC31}">
  <dimension ref="C3:P34"/>
  <sheetViews>
    <sheetView tabSelected="1" topLeftCell="A3" zoomScale="80" workbookViewId="0">
      <selection activeCell="O9" sqref="O9"/>
    </sheetView>
  </sheetViews>
  <sheetFormatPr defaultRowHeight="14.4" x14ac:dyDescent="0.3"/>
  <cols>
    <col min="3" max="3" width="11.77734375" customWidth="1"/>
    <col min="4" max="4" width="13.33203125" customWidth="1"/>
    <col min="5" max="6" width="13.109375" customWidth="1"/>
    <col min="7" max="7" width="9.88671875" bestFit="1" customWidth="1"/>
    <col min="9" max="9" width="14.44140625" customWidth="1"/>
    <col min="12" max="13" width="16.44140625" customWidth="1"/>
    <col min="15" max="15" width="11" customWidth="1"/>
    <col min="16" max="16" width="11.6640625" customWidth="1"/>
  </cols>
  <sheetData>
    <row r="3" spans="3:16" x14ac:dyDescent="0.3">
      <c r="E3" s="1"/>
      <c r="F3" s="1"/>
    </row>
    <row r="4" spans="3:16" ht="28.8" x14ac:dyDescent="0.3">
      <c r="C4" s="25" t="s">
        <v>0</v>
      </c>
      <c r="D4" s="25" t="s">
        <v>1</v>
      </c>
      <c r="E4" s="25" t="s">
        <v>2</v>
      </c>
      <c r="F4" s="25" t="s">
        <v>81</v>
      </c>
      <c r="G4" s="25" t="s">
        <v>3</v>
      </c>
      <c r="H4" s="25" t="s">
        <v>4</v>
      </c>
      <c r="I4" s="25" t="s">
        <v>5</v>
      </c>
      <c r="J4" s="26" t="s">
        <v>6</v>
      </c>
      <c r="K4" s="26" t="s">
        <v>7</v>
      </c>
      <c r="L4" s="26" t="s">
        <v>85</v>
      </c>
      <c r="M4" s="6"/>
      <c r="N4" s="18"/>
      <c r="O4" s="18"/>
      <c r="P4" s="18"/>
    </row>
    <row r="5" spans="3:16" x14ac:dyDescent="0.3">
      <c r="C5" s="2" t="s">
        <v>8</v>
      </c>
      <c r="D5" s="2" t="s">
        <v>9</v>
      </c>
      <c r="E5" s="2" t="s">
        <v>10</v>
      </c>
      <c r="F5" s="3">
        <v>46295</v>
      </c>
      <c r="G5" s="3">
        <v>46290</v>
      </c>
      <c r="H5" s="2" t="s">
        <v>11</v>
      </c>
      <c r="I5" s="2" t="s">
        <v>12</v>
      </c>
      <c r="J5" s="4">
        <v>1</v>
      </c>
      <c r="K5" s="4">
        <v>65000</v>
      </c>
      <c r="L5" s="4">
        <v>65000</v>
      </c>
      <c r="M5" s="7"/>
    </row>
    <row r="6" spans="3:16" x14ac:dyDescent="0.3">
      <c r="C6" s="2" t="s">
        <v>8</v>
      </c>
      <c r="D6" s="2" t="s">
        <v>9</v>
      </c>
      <c r="E6" s="2" t="s">
        <v>10</v>
      </c>
      <c r="F6" s="3">
        <v>46295</v>
      </c>
      <c r="G6" s="3">
        <v>46244</v>
      </c>
      <c r="H6" s="2" t="s">
        <v>13</v>
      </c>
      <c r="I6" s="2" t="s">
        <v>14</v>
      </c>
      <c r="J6" s="4">
        <v>2</v>
      </c>
      <c r="K6" s="4">
        <v>3500</v>
      </c>
      <c r="L6" s="4">
        <v>7000</v>
      </c>
      <c r="M6" s="7"/>
    </row>
    <row r="7" spans="3:16" x14ac:dyDescent="0.3">
      <c r="C7" s="2" t="s">
        <v>8</v>
      </c>
      <c r="D7" s="2" t="s">
        <v>9</v>
      </c>
      <c r="E7" s="2" t="s">
        <v>10</v>
      </c>
      <c r="F7" s="3">
        <v>46295</v>
      </c>
      <c r="G7" s="3">
        <v>46188</v>
      </c>
      <c r="H7" s="2" t="s">
        <v>15</v>
      </c>
      <c r="I7" s="2" t="s">
        <v>16</v>
      </c>
      <c r="J7" s="4">
        <v>1</v>
      </c>
      <c r="K7" s="4">
        <v>8000</v>
      </c>
      <c r="L7" s="4">
        <v>8000</v>
      </c>
      <c r="M7" s="7"/>
    </row>
    <row r="8" spans="3:16" x14ac:dyDescent="0.3">
      <c r="C8" s="2" t="s">
        <v>17</v>
      </c>
      <c r="D8" s="2" t="s">
        <v>18</v>
      </c>
      <c r="E8" s="2" t="s">
        <v>19</v>
      </c>
      <c r="F8" s="3">
        <v>46295</v>
      </c>
      <c r="G8" s="3">
        <v>46285</v>
      </c>
      <c r="H8" s="2" t="s">
        <v>20</v>
      </c>
      <c r="I8" s="2" t="s">
        <v>21</v>
      </c>
      <c r="J8" s="4">
        <v>1</v>
      </c>
      <c r="K8" s="4">
        <v>28000</v>
      </c>
      <c r="L8" s="4">
        <v>28000</v>
      </c>
      <c r="M8" s="7"/>
    </row>
    <row r="9" spans="3:16" x14ac:dyDescent="0.3">
      <c r="C9" s="2" t="s">
        <v>17</v>
      </c>
      <c r="D9" s="2" t="s">
        <v>18</v>
      </c>
      <c r="E9" s="2" t="s">
        <v>19</v>
      </c>
      <c r="F9" s="3">
        <v>46295</v>
      </c>
      <c r="G9" s="3">
        <v>46208</v>
      </c>
      <c r="H9" s="2" t="s">
        <v>22</v>
      </c>
      <c r="I9" s="2" t="s">
        <v>23</v>
      </c>
      <c r="J9" s="4">
        <v>1</v>
      </c>
      <c r="K9" s="4">
        <v>2500</v>
      </c>
      <c r="L9" s="4">
        <v>2500</v>
      </c>
      <c r="M9" s="7"/>
    </row>
    <row r="10" spans="3:16" x14ac:dyDescent="0.3">
      <c r="C10" s="2" t="s">
        <v>24</v>
      </c>
      <c r="D10" s="2" t="s">
        <v>25</v>
      </c>
      <c r="E10" s="2" t="s">
        <v>26</v>
      </c>
      <c r="F10" s="3">
        <v>46295</v>
      </c>
      <c r="G10" s="3">
        <v>46154</v>
      </c>
      <c r="H10" s="2" t="s">
        <v>27</v>
      </c>
      <c r="I10" s="2" t="s">
        <v>28</v>
      </c>
      <c r="J10" s="4">
        <v>1</v>
      </c>
      <c r="K10" s="4">
        <v>22000</v>
      </c>
      <c r="L10" s="4">
        <v>22000</v>
      </c>
      <c r="M10" s="7"/>
    </row>
    <row r="11" spans="3:16" x14ac:dyDescent="0.3">
      <c r="C11" s="2" t="s">
        <v>29</v>
      </c>
      <c r="D11" s="2" t="s">
        <v>30</v>
      </c>
      <c r="E11" s="2" t="s">
        <v>10</v>
      </c>
      <c r="F11" s="3">
        <v>46295</v>
      </c>
      <c r="G11" s="3">
        <v>46293</v>
      </c>
      <c r="H11" s="2" t="s">
        <v>31</v>
      </c>
      <c r="I11" s="2" t="s">
        <v>12</v>
      </c>
      <c r="J11" s="4">
        <v>1</v>
      </c>
      <c r="K11" s="4">
        <v>72000</v>
      </c>
      <c r="L11" s="4">
        <v>72000</v>
      </c>
      <c r="M11" s="7"/>
    </row>
    <row r="12" spans="3:16" x14ac:dyDescent="0.3">
      <c r="C12" s="2" t="s">
        <v>29</v>
      </c>
      <c r="D12" s="2" t="s">
        <v>30</v>
      </c>
      <c r="E12" s="2" t="s">
        <v>10</v>
      </c>
      <c r="F12" s="3">
        <v>46295</v>
      </c>
      <c r="G12" s="3">
        <v>46252</v>
      </c>
      <c r="H12" s="2" t="s">
        <v>32</v>
      </c>
      <c r="I12" s="2" t="s">
        <v>33</v>
      </c>
      <c r="J12" s="4">
        <v>2</v>
      </c>
      <c r="K12" s="4">
        <v>1200</v>
      </c>
      <c r="L12" s="4">
        <v>2400</v>
      </c>
      <c r="M12" s="7"/>
    </row>
    <row r="13" spans="3:16" x14ac:dyDescent="0.3">
      <c r="C13" s="2" t="s">
        <v>29</v>
      </c>
      <c r="D13" s="2" t="s">
        <v>30</v>
      </c>
      <c r="E13" s="2" t="s">
        <v>10</v>
      </c>
      <c r="F13" s="3">
        <v>46295</v>
      </c>
      <c r="G13" s="3">
        <v>46193</v>
      </c>
      <c r="H13" s="2" t="s">
        <v>34</v>
      </c>
      <c r="I13" s="2" t="s">
        <v>35</v>
      </c>
      <c r="J13" s="4">
        <v>1</v>
      </c>
      <c r="K13" s="4">
        <v>2500</v>
      </c>
      <c r="L13" s="4">
        <v>2500</v>
      </c>
      <c r="M13" s="7"/>
    </row>
    <row r="14" spans="3:16" x14ac:dyDescent="0.3">
      <c r="C14" s="2" t="s">
        <v>29</v>
      </c>
      <c r="D14" s="2" t="s">
        <v>30</v>
      </c>
      <c r="E14" s="2" t="s">
        <v>10</v>
      </c>
      <c r="F14" s="3">
        <v>46295</v>
      </c>
      <c r="G14" s="3">
        <v>46122</v>
      </c>
      <c r="H14" s="2" t="s">
        <v>36</v>
      </c>
      <c r="I14" s="2" t="s">
        <v>37</v>
      </c>
      <c r="J14" s="4">
        <v>1</v>
      </c>
      <c r="K14" s="4">
        <v>18000</v>
      </c>
      <c r="L14" s="4">
        <v>18000</v>
      </c>
      <c r="M14" s="7"/>
    </row>
    <row r="15" spans="3:16" x14ac:dyDescent="0.3">
      <c r="C15" s="2" t="s">
        <v>38</v>
      </c>
      <c r="D15" s="2" t="s">
        <v>39</v>
      </c>
      <c r="E15" s="2" t="s">
        <v>19</v>
      </c>
      <c r="F15" s="3">
        <v>46295</v>
      </c>
      <c r="G15" s="3">
        <v>46280</v>
      </c>
      <c r="H15" s="2" t="s">
        <v>40</v>
      </c>
      <c r="I15" s="2" t="s">
        <v>21</v>
      </c>
      <c r="J15" s="4">
        <v>1</v>
      </c>
      <c r="K15" s="4">
        <v>32000</v>
      </c>
      <c r="L15" s="4">
        <v>32000</v>
      </c>
      <c r="M15" s="7"/>
    </row>
    <row r="16" spans="3:16" x14ac:dyDescent="0.3">
      <c r="C16" s="2" t="s">
        <v>38</v>
      </c>
      <c r="D16" s="2" t="s">
        <v>39</v>
      </c>
      <c r="E16" s="2" t="s">
        <v>19</v>
      </c>
      <c r="F16" s="3">
        <v>46295</v>
      </c>
      <c r="G16" s="3">
        <v>46167</v>
      </c>
      <c r="H16" s="2" t="s">
        <v>41</v>
      </c>
      <c r="I16" s="2" t="s">
        <v>42</v>
      </c>
      <c r="J16" s="4">
        <v>2</v>
      </c>
      <c r="K16" s="4">
        <v>1800</v>
      </c>
      <c r="L16" s="4">
        <v>3600</v>
      </c>
      <c r="M16" s="7"/>
    </row>
    <row r="17" spans="3:13" x14ac:dyDescent="0.3">
      <c r="C17" s="2" t="s">
        <v>43</v>
      </c>
      <c r="D17" s="2" t="s">
        <v>44</v>
      </c>
      <c r="E17" s="2" t="s">
        <v>26</v>
      </c>
      <c r="F17" s="3">
        <v>46295</v>
      </c>
      <c r="G17" s="3">
        <v>46061</v>
      </c>
      <c r="H17" s="2" t="s">
        <v>45</v>
      </c>
      <c r="I17" s="2" t="s">
        <v>14</v>
      </c>
      <c r="J17" s="4">
        <v>1</v>
      </c>
      <c r="K17" s="4">
        <v>4500</v>
      </c>
      <c r="L17" s="4">
        <v>4500</v>
      </c>
      <c r="M17" s="7"/>
    </row>
    <row r="18" spans="3:13" x14ac:dyDescent="0.3">
      <c r="C18" s="2" t="s">
        <v>46</v>
      </c>
      <c r="D18" s="2" t="s">
        <v>47</v>
      </c>
      <c r="E18" s="2" t="s">
        <v>19</v>
      </c>
      <c r="F18" s="3">
        <v>46295</v>
      </c>
      <c r="G18" s="3">
        <v>46287</v>
      </c>
      <c r="H18" s="2" t="s">
        <v>48</v>
      </c>
      <c r="I18" s="2" t="s">
        <v>16</v>
      </c>
      <c r="J18" s="4">
        <v>1</v>
      </c>
      <c r="K18" s="4">
        <v>7500</v>
      </c>
      <c r="L18" s="4">
        <v>7500</v>
      </c>
      <c r="M18" s="7"/>
    </row>
    <row r="19" spans="3:13" x14ac:dyDescent="0.3">
      <c r="C19" s="2" t="s">
        <v>46</v>
      </c>
      <c r="D19" s="2" t="s">
        <v>47</v>
      </c>
      <c r="E19" s="2" t="s">
        <v>19</v>
      </c>
      <c r="F19" s="3">
        <v>46295</v>
      </c>
      <c r="G19" s="3">
        <v>46215</v>
      </c>
      <c r="H19" s="2" t="s">
        <v>49</v>
      </c>
      <c r="I19" s="2" t="s">
        <v>23</v>
      </c>
      <c r="J19" s="4">
        <v>2</v>
      </c>
      <c r="K19" s="4">
        <v>2200</v>
      </c>
      <c r="L19" s="4">
        <v>4400</v>
      </c>
      <c r="M19" s="7"/>
    </row>
    <row r="20" spans="3:13" x14ac:dyDescent="0.3">
      <c r="C20" s="2" t="s">
        <v>50</v>
      </c>
      <c r="D20" s="2" t="s">
        <v>51</v>
      </c>
      <c r="E20" s="2" t="s">
        <v>10</v>
      </c>
      <c r="F20" s="3">
        <v>46295</v>
      </c>
      <c r="G20" s="3">
        <v>46294</v>
      </c>
      <c r="H20" s="2" t="s">
        <v>52</v>
      </c>
      <c r="I20" s="2" t="s">
        <v>12</v>
      </c>
      <c r="J20" s="4">
        <v>1</v>
      </c>
      <c r="K20" s="4">
        <v>58000</v>
      </c>
      <c r="L20" s="4">
        <v>58000</v>
      </c>
      <c r="M20" s="7"/>
    </row>
    <row r="21" spans="3:13" x14ac:dyDescent="0.3">
      <c r="C21" s="2" t="s">
        <v>50</v>
      </c>
      <c r="D21" s="2" t="s">
        <v>51</v>
      </c>
      <c r="E21" s="2" t="s">
        <v>10</v>
      </c>
      <c r="F21" s="3">
        <v>46295</v>
      </c>
      <c r="G21" s="3">
        <v>46235</v>
      </c>
      <c r="H21" s="2" t="s">
        <v>53</v>
      </c>
      <c r="I21" s="2" t="s">
        <v>21</v>
      </c>
      <c r="J21" s="4">
        <v>1</v>
      </c>
      <c r="K21" s="4">
        <v>30000</v>
      </c>
      <c r="L21" s="4">
        <v>30000</v>
      </c>
      <c r="M21" s="7"/>
    </row>
    <row r="22" spans="3:13" x14ac:dyDescent="0.3">
      <c r="C22" s="2" t="s">
        <v>50</v>
      </c>
      <c r="D22" s="2" t="s">
        <v>51</v>
      </c>
      <c r="E22" s="2" t="s">
        <v>10</v>
      </c>
      <c r="F22" s="3">
        <v>46295</v>
      </c>
      <c r="G22" s="3">
        <v>46157</v>
      </c>
      <c r="H22" s="2" t="s">
        <v>54</v>
      </c>
      <c r="I22" s="2" t="s">
        <v>28</v>
      </c>
      <c r="J22" s="4">
        <v>1</v>
      </c>
      <c r="K22" s="4">
        <v>24000</v>
      </c>
      <c r="L22" s="4">
        <v>24000</v>
      </c>
      <c r="M22" s="7"/>
    </row>
    <row r="23" spans="3:13" x14ac:dyDescent="0.3">
      <c r="C23" s="2" t="s">
        <v>55</v>
      </c>
      <c r="D23" s="2" t="s">
        <v>56</v>
      </c>
      <c r="E23" s="2" t="s">
        <v>26</v>
      </c>
      <c r="F23" s="3">
        <v>46295</v>
      </c>
      <c r="G23" s="3">
        <v>46091</v>
      </c>
      <c r="H23" s="2" t="s">
        <v>57</v>
      </c>
      <c r="I23" s="2" t="s">
        <v>21</v>
      </c>
      <c r="J23" s="4">
        <v>1</v>
      </c>
      <c r="K23" s="4">
        <v>26000</v>
      </c>
      <c r="L23" s="4">
        <v>26000</v>
      </c>
      <c r="M23" s="7"/>
    </row>
    <row r="24" spans="3:13" x14ac:dyDescent="0.3">
      <c r="C24" s="2" t="s">
        <v>58</v>
      </c>
      <c r="D24" s="2" t="s">
        <v>59</v>
      </c>
      <c r="E24" s="2" t="s">
        <v>19</v>
      </c>
      <c r="F24" s="3">
        <v>46295</v>
      </c>
      <c r="G24" s="3">
        <v>46291</v>
      </c>
      <c r="H24" s="2" t="s">
        <v>60</v>
      </c>
      <c r="I24" s="2" t="s">
        <v>28</v>
      </c>
      <c r="J24" s="4">
        <v>1</v>
      </c>
      <c r="K24" s="4">
        <v>20000</v>
      </c>
      <c r="L24" s="4">
        <v>20000</v>
      </c>
      <c r="M24" s="7"/>
    </row>
    <row r="25" spans="3:13" x14ac:dyDescent="0.3">
      <c r="C25" s="2" t="s">
        <v>58</v>
      </c>
      <c r="D25" s="2" t="s">
        <v>59</v>
      </c>
      <c r="E25" s="2" t="s">
        <v>19</v>
      </c>
      <c r="F25" s="3">
        <v>46295</v>
      </c>
      <c r="G25" s="3">
        <v>46178</v>
      </c>
      <c r="H25" s="2" t="s">
        <v>61</v>
      </c>
      <c r="I25" s="2" t="s">
        <v>14</v>
      </c>
      <c r="J25" s="4">
        <v>1</v>
      </c>
      <c r="K25" s="4">
        <v>5000</v>
      </c>
      <c r="L25" s="4">
        <v>5000</v>
      </c>
      <c r="M25" s="7"/>
    </row>
    <row r="26" spans="3:13" x14ac:dyDescent="0.3">
      <c r="C26" s="2" t="s">
        <v>62</v>
      </c>
      <c r="D26" s="2" t="s">
        <v>63</v>
      </c>
      <c r="E26" s="2" t="s">
        <v>26</v>
      </c>
      <c r="F26" s="3">
        <v>46295</v>
      </c>
      <c r="G26" s="3">
        <v>46037</v>
      </c>
      <c r="H26" s="2" t="s">
        <v>64</v>
      </c>
      <c r="I26" s="2" t="s">
        <v>37</v>
      </c>
      <c r="J26" s="4">
        <v>1</v>
      </c>
      <c r="K26" s="4">
        <v>16000</v>
      </c>
      <c r="L26" s="4">
        <v>16000</v>
      </c>
      <c r="M26" s="7"/>
    </row>
    <row r="27" spans="3:13" x14ac:dyDescent="0.3">
      <c r="C27" s="2" t="s">
        <v>65</v>
      </c>
      <c r="D27" s="2" t="s">
        <v>66</v>
      </c>
      <c r="E27" s="2" t="s">
        <v>10</v>
      </c>
      <c r="F27" s="3">
        <v>46295</v>
      </c>
      <c r="G27" s="3">
        <v>46292</v>
      </c>
      <c r="H27" s="2" t="s">
        <v>67</v>
      </c>
      <c r="I27" s="2" t="s">
        <v>21</v>
      </c>
      <c r="J27" s="4">
        <v>1</v>
      </c>
      <c r="K27" s="4">
        <v>45000</v>
      </c>
      <c r="L27" s="4">
        <v>45000</v>
      </c>
      <c r="M27" s="7"/>
    </row>
    <row r="28" spans="3:13" x14ac:dyDescent="0.3">
      <c r="C28" s="2" t="s">
        <v>65</v>
      </c>
      <c r="D28" s="2" t="s">
        <v>66</v>
      </c>
      <c r="E28" s="2" t="s">
        <v>10</v>
      </c>
      <c r="F28" s="3">
        <v>46295</v>
      </c>
      <c r="G28" s="3">
        <v>46249</v>
      </c>
      <c r="H28" s="2" t="s">
        <v>68</v>
      </c>
      <c r="I28" s="2" t="s">
        <v>16</v>
      </c>
      <c r="J28" s="4">
        <v>1</v>
      </c>
      <c r="K28" s="4">
        <v>9500</v>
      </c>
      <c r="L28" s="4">
        <v>9500</v>
      </c>
      <c r="M28" s="7"/>
    </row>
    <row r="29" spans="3:13" x14ac:dyDescent="0.3">
      <c r="C29" s="2" t="s">
        <v>65</v>
      </c>
      <c r="D29" s="2" t="s">
        <v>66</v>
      </c>
      <c r="E29" s="2" t="s">
        <v>10</v>
      </c>
      <c r="F29" s="3">
        <v>46295</v>
      </c>
      <c r="G29" s="3">
        <v>46213</v>
      </c>
      <c r="H29" s="2" t="s">
        <v>69</v>
      </c>
      <c r="I29" s="2" t="s">
        <v>23</v>
      </c>
      <c r="J29" s="4">
        <v>1</v>
      </c>
      <c r="K29" s="4">
        <v>3000</v>
      </c>
      <c r="L29" s="4">
        <v>3000</v>
      </c>
      <c r="M29" s="7"/>
    </row>
    <row r="30" spans="3:13" x14ac:dyDescent="0.3">
      <c r="C30" s="2" t="s">
        <v>70</v>
      </c>
      <c r="D30" s="2" t="s">
        <v>71</v>
      </c>
      <c r="E30" s="2" t="s">
        <v>19</v>
      </c>
      <c r="F30" s="3">
        <v>46295</v>
      </c>
      <c r="G30" s="3">
        <v>46283</v>
      </c>
      <c r="H30" s="2" t="s">
        <v>72</v>
      </c>
      <c r="I30" s="2" t="s">
        <v>12</v>
      </c>
      <c r="J30" s="4">
        <v>1</v>
      </c>
      <c r="K30" s="4">
        <v>55000</v>
      </c>
      <c r="L30" s="4">
        <v>55000</v>
      </c>
      <c r="M30" s="7"/>
    </row>
    <row r="31" spans="3:13" x14ac:dyDescent="0.3">
      <c r="C31" s="2" t="s">
        <v>70</v>
      </c>
      <c r="D31" s="2" t="s">
        <v>71</v>
      </c>
      <c r="E31" s="2" t="s">
        <v>19</v>
      </c>
      <c r="F31" s="3">
        <v>46295</v>
      </c>
      <c r="G31" s="3">
        <v>46132</v>
      </c>
      <c r="H31" s="2" t="s">
        <v>73</v>
      </c>
      <c r="I31" s="2" t="s">
        <v>33</v>
      </c>
      <c r="J31" s="4">
        <v>1</v>
      </c>
      <c r="K31" s="4">
        <v>1000</v>
      </c>
      <c r="L31" s="4">
        <v>1000</v>
      </c>
      <c r="M31" s="7"/>
    </row>
    <row r="32" spans="3:13" x14ac:dyDescent="0.3">
      <c r="C32" s="2" t="s">
        <v>74</v>
      </c>
      <c r="D32" s="2" t="s">
        <v>75</v>
      </c>
      <c r="E32" s="2" t="s">
        <v>26</v>
      </c>
      <c r="F32" s="3">
        <v>46295</v>
      </c>
      <c r="G32" s="3">
        <v>46117</v>
      </c>
      <c r="H32" s="2" t="s">
        <v>76</v>
      </c>
      <c r="I32" s="2" t="s">
        <v>28</v>
      </c>
      <c r="J32" s="4">
        <v>1</v>
      </c>
      <c r="K32" s="4">
        <v>21000</v>
      </c>
      <c r="L32" s="4">
        <v>21000</v>
      </c>
      <c r="M32" s="7"/>
    </row>
    <row r="33" spans="3:13" x14ac:dyDescent="0.3">
      <c r="C33" s="2" t="s">
        <v>77</v>
      </c>
      <c r="D33" s="2" t="s">
        <v>78</v>
      </c>
      <c r="E33" s="2" t="s">
        <v>19</v>
      </c>
      <c r="F33" s="3">
        <v>46295</v>
      </c>
      <c r="G33" s="3">
        <v>46289</v>
      </c>
      <c r="H33" s="2" t="s">
        <v>79</v>
      </c>
      <c r="I33" s="2" t="s">
        <v>21</v>
      </c>
      <c r="J33" s="4">
        <v>1</v>
      </c>
      <c r="K33" s="4">
        <v>27000</v>
      </c>
      <c r="L33" s="4">
        <v>27000</v>
      </c>
      <c r="M33" s="7"/>
    </row>
    <row r="34" spans="3:13" ht="15" thickBot="1" x14ac:dyDescent="0.35">
      <c r="C34" s="22" t="s">
        <v>77</v>
      </c>
      <c r="D34" s="22" t="s">
        <v>78</v>
      </c>
      <c r="E34" s="22" t="s">
        <v>19</v>
      </c>
      <c r="F34" s="23">
        <v>46295</v>
      </c>
      <c r="G34" s="23">
        <v>46188</v>
      </c>
      <c r="H34" s="22" t="s">
        <v>80</v>
      </c>
      <c r="I34" s="22" t="s">
        <v>42</v>
      </c>
      <c r="J34" s="24">
        <v>1</v>
      </c>
      <c r="K34" s="24">
        <v>2000</v>
      </c>
      <c r="L34" s="24">
        <v>2000</v>
      </c>
      <c r="M34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4CC9-3ACC-45C1-8C3D-579F39DF3089}">
  <dimension ref="B3:J19"/>
  <sheetViews>
    <sheetView topLeftCell="A2" workbookViewId="0">
      <selection activeCell="B3" sqref="B3:E19"/>
    </sheetView>
  </sheetViews>
  <sheetFormatPr defaultRowHeight="14.4" x14ac:dyDescent="0.3"/>
  <cols>
    <col min="2" max="2" width="12.5546875" bestFit="1" customWidth="1"/>
    <col min="3" max="3" width="15.88671875" bestFit="1" customWidth="1"/>
    <col min="4" max="4" width="11.6640625" bestFit="1" customWidth="1"/>
    <col min="5" max="5" width="19.5546875" bestFit="1" customWidth="1"/>
    <col min="6" max="7" width="6" bestFit="1" customWidth="1"/>
    <col min="8" max="8" width="5.109375" bestFit="1" customWidth="1"/>
    <col min="9" max="9" width="9.77734375" bestFit="1" customWidth="1"/>
    <col min="10" max="10" width="8.44140625" bestFit="1" customWidth="1"/>
    <col min="11" max="17" width="6" bestFit="1" customWidth="1"/>
    <col min="18" max="18" width="10.77734375" bestFit="1" customWidth="1"/>
    <col min="19" max="19" width="9.77734375" bestFit="1" customWidth="1"/>
    <col min="20" max="20" width="7.109375" bestFit="1" customWidth="1"/>
    <col min="21" max="21" width="9.77734375" bestFit="1" customWidth="1"/>
    <col min="22" max="22" width="7.109375" bestFit="1" customWidth="1"/>
    <col min="23" max="23" width="6.33203125" bestFit="1" customWidth="1"/>
    <col min="24" max="24" width="9.77734375" bestFit="1" customWidth="1"/>
    <col min="25" max="25" width="7.109375" bestFit="1" customWidth="1"/>
    <col min="26" max="27" width="6.33203125" bestFit="1" customWidth="1"/>
    <col min="28" max="28" width="9.77734375" bestFit="1" customWidth="1"/>
    <col min="29" max="29" width="7.109375" bestFit="1" customWidth="1"/>
    <col min="30" max="30" width="9.77734375" bestFit="1" customWidth="1"/>
    <col min="31" max="31" width="7.109375" bestFit="1" customWidth="1"/>
    <col min="32" max="32" width="6.33203125" bestFit="1" customWidth="1"/>
    <col min="33" max="33" width="9.77734375" bestFit="1" customWidth="1"/>
    <col min="34" max="34" width="7.109375" bestFit="1" customWidth="1"/>
    <col min="35" max="35" width="9.77734375" bestFit="1" customWidth="1"/>
    <col min="36" max="36" width="7.109375" bestFit="1" customWidth="1"/>
    <col min="37" max="38" width="6.33203125" bestFit="1" customWidth="1"/>
    <col min="39" max="39" width="9.77734375" bestFit="1" customWidth="1"/>
    <col min="40" max="40" width="7.109375" bestFit="1" customWidth="1"/>
    <col min="41" max="41" width="6.33203125" bestFit="1" customWidth="1"/>
    <col min="42" max="42" width="9.77734375" bestFit="1" customWidth="1"/>
    <col min="43" max="43" width="7.109375" bestFit="1" customWidth="1"/>
    <col min="44" max="44" width="9.77734375" bestFit="1" customWidth="1"/>
    <col min="45" max="45" width="7.109375" bestFit="1" customWidth="1"/>
    <col min="46" max="46" width="6.33203125" bestFit="1" customWidth="1"/>
    <col min="47" max="47" width="9.77734375" bestFit="1" customWidth="1"/>
    <col min="48" max="48" width="10.77734375" bestFit="1" customWidth="1"/>
    <col min="49" max="51" width="19.33203125" bestFit="1" customWidth="1"/>
    <col min="52" max="52" width="16.33203125" bestFit="1" customWidth="1"/>
    <col min="53" max="53" width="24" bestFit="1" customWidth="1"/>
    <col min="54" max="55" width="19.33203125" bestFit="1" customWidth="1"/>
    <col min="56" max="56" width="16.33203125" bestFit="1" customWidth="1"/>
    <col min="57" max="57" width="24" bestFit="1" customWidth="1"/>
    <col min="58" max="61" width="19.33203125" bestFit="1" customWidth="1"/>
    <col min="62" max="62" width="16.33203125" bestFit="1" customWidth="1"/>
    <col min="63" max="63" width="24" bestFit="1" customWidth="1"/>
    <col min="64" max="65" width="19.33203125" bestFit="1" customWidth="1"/>
    <col min="66" max="66" width="16.33203125" bestFit="1" customWidth="1"/>
    <col min="67" max="67" width="24" bestFit="1" customWidth="1"/>
    <col min="68" max="73" width="19.33203125" bestFit="1" customWidth="1"/>
    <col min="74" max="74" width="16.33203125" bestFit="1" customWidth="1"/>
    <col min="75" max="75" width="24" bestFit="1" customWidth="1"/>
    <col min="76" max="79" width="19.33203125" bestFit="1" customWidth="1"/>
    <col min="80" max="80" width="16.33203125" bestFit="1" customWidth="1"/>
    <col min="81" max="81" width="24" bestFit="1" customWidth="1"/>
    <col min="82" max="83" width="19.33203125" bestFit="1" customWidth="1"/>
    <col min="84" max="84" width="16.33203125" bestFit="1" customWidth="1"/>
    <col min="85" max="85" width="24" bestFit="1" customWidth="1"/>
    <col min="86" max="89" width="19.33203125" bestFit="1" customWidth="1"/>
    <col min="90" max="90" width="16.33203125" bestFit="1" customWidth="1"/>
    <col min="91" max="91" width="24" bestFit="1" customWidth="1"/>
    <col min="92" max="92" width="16.44140625" bestFit="1" customWidth="1"/>
    <col min="93" max="93" width="24.109375" bestFit="1" customWidth="1"/>
  </cols>
  <sheetData>
    <row r="3" spans="2:10" x14ac:dyDescent="0.3">
      <c r="B3" s="16" t="s">
        <v>82</v>
      </c>
      <c r="C3" s="11" t="s">
        <v>84</v>
      </c>
      <c r="D3" s="11" t="s">
        <v>87</v>
      </c>
      <c r="E3" s="15" t="s">
        <v>86</v>
      </c>
    </row>
    <row r="4" spans="2:10" x14ac:dyDescent="0.3">
      <c r="B4" s="14" t="s">
        <v>8</v>
      </c>
      <c r="C4" s="11">
        <v>3</v>
      </c>
      <c r="D4" s="11">
        <v>80000</v>
      </c>
      <c r="E4" s="15">
        <v>46290</v>
      </c>
      <c r="H4" s="8"/>
      <c r="I4" s="8"/>
      <c r="J4" s="1"/>
    </row>
    <row r="5" spans="2:10" x14ac:dyDescent="0.3">
      <c r="B5" s="14" t="s">
        <v>17</v>
      </c>
      <c r="C5" s="11">
        <v>2</v>
      </c>
      <c r="D5" s="11">
        <v>30500</v>
      </c>
      <c r="E5" s="15">
        <v>46285</v>
      </c>
    </row>
    <row r="6" spans="2:10" x14ac:dyDescent="0.3">
      <c r="B6" s="14" t="s">
        <v>24</v>
      </c>
      <c r="C6" s="11">
        <v>1</v>
      </c>
      <c r="D6" s="11">
        <v>22000</v>
      </c>
      <c r="E6" s="15">
        <v>46154</v>
      </c>
    </row>
    <row r="7" spans="2:10" x14ac:dyDescent="0.3">
      <c r="B7" s="14" t="s">
        <v>29</v>
      </c>
      <c r="C7" s="11">
        <v>4</v>
      </c>
      <c r="D7" s="11">
        <v>94900</v>
      </c>
      <c r="E7" s="15">
        <v>46293</v>
      </c>
    </row>
    <row r="8" spans="2:10" x14ac:dyDescent="0.3">
      <c r="B8" s="14" t="s">
        <v>38</v>
      </c>
      <c r="C8" s="11">
        <v>2</v>
      </c>
      <c r="D8" s="11">
        <v>35600</v>
      </c>
      <c r="E8" s="15">
        <v>46280</v>
      </c>
    </row>
    <row r="9" spans="2:10" x14ac:dyDescent="0.3">
      <c r="B9" s="14" t="s">
        <v>43</v>
      </c>
      <c r="C9" s="11">
        <v>1</v>
      </c>
      <c r="D9" s="11">
        <v>4500</v>
      </c>
      <c r="E9" s="15">
        <v>46061</v>
      </c>
    </row>
    <row r="10" spans="2:10" x14ac:dyDescent="0.3">
      <c r="B10" s="14" t="s">
        <v>46</v>
      </c>
      <c r="C10" s="11">
        <v>2</v>
      </c>
      <c r="D10" s="11">
        <v>11900</v>
      </c>
      <c r="E10" s="15">
        <v>46287</v>
      </c>
    </row>
    <row r="11" spans="2:10" x14ac:dyDescent="0.3">
      <c r="B11" s="14" t="s">
        <v>50</v>
      </c>
      <c r="C11" s="11">
        <v>3</v>
      </c>
      <c r="D11" s="11">
        <v>112000</v>
      </c>
      <c r="E11" s="15">
        <v>46294</v>
      </c>
    </row>
    <row r="12" spans="2:10" x14ac:dyDescent="0.3">
      <c r="B12" s="14" t="s">
        <v>55</v>
      </c>
      <c r="C12" s="11">
        <v>1</v>
      </c>
      <c r="D12" s="11">
        <v>26000</v>
      </c>
      <c r="E12" s="15">
        <v>46091</v>
      </c>
    </row>
    <row r="13" spans="2:10" x14ac:dyDescent="0.3">
      <c r="B13" s="14" t="s">
        <v>58</v>
      </c>
      <c r="C13" s="11">
        <v>2</v>
      </c>
      <c r="D13" s="11">
        <v>25000</v>
      </c>
      <c r="E13" s="15">
        <v>46291</v>
      </c>
    </row>
    <row r="14" spans="2:10" x14ac:dyDescent="0.3">
      <c r="B14" s="14" t="s">
        <v>62</v>
      </c>
      <c r="C14" s="11">
        <v>1</v>
      </c>
      <c r="D14" s="11">
        <v>16000</v>
      </c>
      <c r="E14" s="15">
        <v>46037</v>
      </c>
    </row>
    <row r="15" spans="2:10" x14ac:dyDescent="0.3">
      <c r="B15" s="14" t="s">
        <v>65</v>
      </c>
      <c r="C15" s="11">
        <v>3</v>
      </c>
      <c r="D15" s="11">
        <v>57500</v>
      </c>
      <c r="E15" s="15">
        <v>46292</v>
      </c>
    </row>
    <row r="16" spans="2:10" x14ac:dyDescent="0.3">
      <c r="B16" s="14" t="s">
        <v>70</v>
      </c>
      <c r="C16" s="11">
        <v>2</v>
      </c>
      <c r="D16" s="11">
        <v>56000</v>
      </c>
      <c r="E16" s="15">
        <v>46283</v>
      </c>
    </row>
    <row r="17" spans="2:5" x14ac:dyDescent="0.3">
      <c r="B17" s="14" t="s">
        <v>74</v>
      </c>
      <c r="C17" s="11">
        <v>1</v>
      </c>
      <c r="D17" s="11">
        <v>21000</v>
      </c>
      <c r="E17" s="15">
        <v>46117</v>
      </c>
    </row>
    <row r="18" spans="2:5" x14ac:dyDescent="0.3">
      <c r="B18" s="14" t="s">
        <v>77</v>
      </c>
      <c r="C18" s="11">
        <v>2</v>
      </c>
      <c r="D18" s="11">
        <v>29000</v>
      </c>
      <c r="E18" s="15">
        <v>46289</v>
      </c>
    </row>
    <row r="19" spans="2:5" x14ac:dyDescent="0.3">
      <c r="B19" s="14" t="s">
        <v>83</v>
      </c>
      <c r="C19" s="11">
        <v>30</v>
      </c>
      <c r="D19" s="11">
        <v>621900</v>
      </c>
      <c r="E19" s="17">
        <v>46294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30AD-330B-4172-A2F8-A64CDD1B6319}">
  <dimension ref="B3:M18"/>
  <sheetViews>
    <sheetView topLeftCell="B1" zoomScaleNormal="100" workbookViewId="0">
      <selection activeCell="K24" sqref="K24"/>
    </sheetView>
  </sheetViews>
  <sheetFormatPr defaultRowHeight="14.4" x14ac:dyDescent="0.3"/>
  <cols>
    <col min="2" max="2" width="11.33203125" customWidth="1"/>
    <col min="3" max="3" width="15.88671875" bestFit="1" customWidth="1"/>
    <col min="4" max="4" width="16.77734375" customWidth="1"/>
    <col min="5" max="5" width="19.5546875" bestFit="1" customWidth="1"/>
    <col min="6" max="6" width="10.33203125" bestFit="1" customWidth="1"/>
    <col min="7" max="7" width="15.77734375" customWidth="1"/>
    <col min="8" max="8" width="15.88671875" bestFit="1" customWidth="1"/>
    <col min="9" max="9" width="10.33203125" bestFit="1" customWidth="1"/>
    <col min="10" max="10" width="19.5546875" bestFit="1" customWidth="1"/>
    <col min="11" max="11" width="10.33203125" bestFit="1" customWidth="1"/>
    <col min="13" max="13" width="14.77734375" customWidth="1"/>
  </cols>
  <sheetData>
    <row r="3" spans="2:10" x14ac:dyDescent="0.3">
      <c r="B3" s="10" t="s">
        <v>82</v>
      </c>
      <c r="C3" s="10" t="s">
        <v>84</v>
      </c>
      <c r="D3" s="10" t="s">
        <v>87</v>
      </c>
      <c r="E3" s="13" t="s">
        <v>86</v>
      </c>
      <c r="G3" s="10" t="s">
        <v>89</v>
      </c>
      <c r="H3" s="10" t="s">
        <v>90</v>
      </c>
      <c r="I3" s="12" t="s">
        <v>88</v>
      </c>
      <c r="J3" s="9"/>
    </row>
    <row r="4" spans="2:10" x14ac:dyDescent="0.3">
      <c r="B4" s="14" t="s">
        <v>8</v>
      </c>
      <c r="C4" s="11">
        <v>3</v>
      </c>
      <c r="D4" s="11">
        <v>80000</v>
      </c>
      <c r="E4" s="15">
        <v>46290</v>
      </c>
      <c r="F4" s="5"/>
      <c r="G4" s="11">
        <v>3</v>
      </c>
      <c r="H4" s="11">
        <v>80000</v>
      </c>
      <c r="I4" s="21" cm="1">
        <f t="array" ref="I4:I18">DATE(2026,9,30)-E4:E18</f>
        <v>5</v>
      </c>
      <c r="J4" s="5"/>
    </row>
    <row r="5" spans="2:10" x14ac:dyDescent="0.3">
      <c r="B5" s="14" t="s">
        <v>17</v>
      </c>
      <c r="C5" s="11">
        <v>2</v>
      </c>
      <c r="D5" s="11">
        <v>30500</v>
      </c>
      <c r="E5" s="15">
        <v>46285</v>
      </c>
      <c r="G5" s="11">
        <v>2</v>
      </c>
      <c r="H5" s="11">
        <v>30500</v>
      </c>
      <c r="I5" s="11">
        <v>10</v>
      </c>
    </row>
    <row r="6" spans="2:10" x14ac:dyDescent="0.3">
      <c r="B6" s="14" t="s">
        <v>24</v>
      </c>
      <c r="C6" s="11">
        <v>1</v>
      </c>
      <c r="D6" s="11">
        <v>22000</v>
      </c>
      <c r="E6" s="15">
        <v>46154</v>
      </c>
      <c r="G6" s="11">
        <v>1</v>
      </c>
      <c r="H6" s="11">
        <v>22000</v>
      </c>
      <c r="I6" s="11">
        <v>141</v>
      </c>
    </row>
    <row r="7" spans="2:10" x14ac:dyDescent="0.3">
      <c r="B7" s="14" t="s">
        <v>29</v>
      </c>
      <c r="C7" s="11">
        <v>4</v>
      </c>
      <c r="D7" s="11">
        <v>94900</v>
      </c>
      <c r="E7" s="15">
        <v>46293</v>
      </c>
      <c r="G7" s="11">
        <v>4</v>
      </c>
      <c r="H7" s="11">
        <v>94900</v>
      </c>
      <c r="I7" s="11">
        <v>2</v>
      </c>
    </row>
    <row r="8" spans="2:10" x14ac:dyDescent="0.3">
      <c r="B8" s="14" t="s">
        <v>38</v>
      </c>
      <c r="C8" s="11">
        <v>2</v>
      </c>
      <c r="D8" s="11">
        <v>35600</v>
      </c>
      <c r="E8" s="15">
        <v>46280</v>
      </c>
      <c r="G8" s="11">
        <v>2</v>
      </c>
      <c r="H8" s="11">
        <v>35600</v>
      </c>
      <c r="I8" s="11">
        <v>15</v>
      </c>
    </row>
    <row r="9" spans="2:10" x14ac:dyDescent="0.3">
      <c r="B9" s="14" t="s">
        <v>43</v>
      </c>
      <c r="C9" s="11">
        <v>1</v>
      </c>
      <c r="D9" s="11">
        <v>4500</v>
      </c>
      <c r="E9" s="15">
        <v>46061</v>
      </c>
      <c r="G9" s="11">
        <v>1</v>
      </c>
      <c r="H9" s="11">
        <v>4500</v>
      </c>
      <c r="I9" s="11">
        <v>234</v>
      </c>
    </row>
    <row r="10" spans="2:10" x14ac:dyDescent="0.3">
      <c r="B10" s="14" t="s">
        <v>46</v>
      </c>
      <c r="C10" s="11">
        <v>2</v>
      </c>
      <c r="D10" s="11">
        <v>11900</v>
      </c>
      <c r="E10" s="15">
        <v>46287</v>
      </c>
      <c r="G10" s="11">
        <v>2</v>
      </c>
      <c r="H10" s="11">
        <v>11900</v>
      </c>
      <c r="I10" s="11">
        <v>8</v>
      </c>
    </row>
    <row r="11" spans="2:10" x14ac:dyDescent="0.3">
      <c r="B11" s="14" t="s">
        <v>50</v>
      </c>
      <c r="C11" s="11">
        <v>3</v>
      </c>
      <c r="D11" s="11">
        <v>112000</v>
      </c>
      <c r="E11" s="15">
        <v>46294</v>
      </c>
      <c r="G11" s="11">
        <v>3</v>
      </c>
      <c r="H11" s="11">
        <v>112000</v>
      </c>
      <c r="I11" s="11">
        <v>1</v>
      </c>
    </row>
    <row r="12" spans="2:10" x14ac:dyDescent="0.3">
      <c r="B12" s="14" t="s">
        <v>55</v>
      </c>
      <c r="C12" s="11">
        <v>1</v>
      </c>
      <c r="D12" s="11">
        <v>26000</v>
      </c>
      <c r="E12" s="15">
        <v>46091</v>
      </c>
      <c r="G12" s="11">
        <v>1</v>
      </c>
      <c r="H12" s="11">
        <v>26000</v>
      </c>
      <c r="I12" s="11">
        <v>204</v>
      </c>
    </row>
    <row r="13" spans="2:10" x14ac:dyDescent="0.3">
      <c r="B13" s="14" t="s">
        <v>58</v>
      </c>
      <c r="C13" s="11">
        <v>2</v>
      </c>
      <c r="D13" s="11">
        <v>25000</v>
      </c>
      <c r="E13" s="15">
        <v>46291</v>
      </c>
      <c r="G13" s="11">
        <v>2</v>
      </c>
      <c r="H13" s="11">
        <v>25000</v>
      </c>
      <c r="I13" s="11">
        <v>4</v>
      </c>
    </row>
    <row r="14" spans="2:10" x14ac:dyDescent="0.3">
      <c r="B14" s="14" t="s">
        <v>62</v>
      </c>
      <c r="C14" s="11">
        <v>1</v>
      </c>
      <c r="D14" s="11">
        <v>16000</v>
      </c>
      <c r="E14" s="15">
        <v>46037</v>
      </c>
      <c r="G14" s="11">
        <v>1</v>
      </c>
      <c r="H14" s="11">
        <v>16000</v>
      </c>
      <c r="I14" s="11">
        <v>258</v>
      </c>
    </row>
    <row r="15" spans="2:10" x14ac:dyDescent="0.3">
      <c r="B15" s="14" t="s">
        <v>65</v>
      </c>
      <c r="C15" s="11">
        <v>3</v>
      </c>
      <c r="D15" s="11">
        <v>57500</v>
      </c>
      <c r="E15" s="15">
        <v>46292</v>
      </c>
      <c r="G15" s="11">
        <v>3</v>
      </c>
      <c r="H15" s="11">
        <v>57500</v>
      </c>
      <c r="I15" s="11">
        <v>3</v>
      </c>
    </row>
    <row r="16" spans="2:10" x14ac:dyDescent="0.3">
      <c r="B16" s="14" t="s">
        <v>70</v>
      </c>
      <c r="C16" s="11">
        <v>2</v>
      </c>
      <c r="D16" s="11">
        <v>56000</v>
      </c>
      <c r="E16" s="15">
        <v>46283</v>
      </c>
      <c r="G16" s="11">
        <v>2</v>
      </c>
      <c r="H16" s="11">
        <v>56000</v>
      </c>
      <c r="I16" s="11">
        <v>12</v>
      </c>
    </row>
    <row r="17" spans="2:13" x14ac:dyDescent="0.3">
      <c r="B17" s="14" t="s">
        <v>74</v>
      </c>
      <c r="C17" s="11">
        <v>1</v>
      </c>
      <c r="D17" s="11">
        <v>21000</v>
      </c>
      <c r="E17" s="15">
        <v>46117</v>
      </c>
      <c r="G17" s="11">
        <v>1</v>
      </c>
      <c r="H17" s="11">
        <v>21000</v>
      </c>
      <c r="I17" s="11">
        <v>178</v>
      </c>
    </row>
    <row r="18" spans="2:13" x14ac:dyDescent="0.3">
      <c r="B18" s="14" t="s">
        <v>77</v>
      </c>
      <c r="C18" s="11">
        <v>2</v>
      </c>
      <c r="D18" s="11">
        <v>29000</v>
      </c>
      <c r="E18" s="15">
        <v>46289</v>
      </c>
      <c r="G18" s="11">
        <v>2</v>
      </c>
      <c r="H18" s="11">
        <v>29000</v>
      </c>
      <c r="I18" s="11">
        <v>6</v>
      </c>
      <c r="K18" s="19"/>
      <c r="L18" s="19"/>
      <c r="M18" s="20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</vt:lpstr>
      <vt:lpstr>Pivot Table</vt:lpstr>
      <vt:lpstr>RFM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Nandhini</dc:creator>
  <cp:lastModifiedBy>Aishwarya Nandhini</cp:lastModifiedBy>
  <dcterms:created xsi:type="dcterms:W3CDTF">2026-10-03T06:54:20Z</dcterms:created>
  <dcterms:modified xsi:type="dcterms:W3CDTF">2026-10-12T13:53:50Z</dcterms:modified>
</cp:coreProperties>
</file>