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owmy\OneDrive\Desktop\Nan and Sow\Nandhini CLG and CA\Technova internship\"/>
    </mc:Choice>
  </mc:AlternateContent>
  <xr:revisionPtr revIDLastSave="0" documentId="13_ncr:1_{2A1C9A78-6783-4C07-A19B-B5C057938F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ivot table summary 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" l="1" a="1"/>
  <c r="P12" i="1" s="1"/>
  <c r="L12" i="1" l="1"/>
  <c r="O12" i="1" s="1"/>
  <c r="O16" i="1"/>
  <c r="Q12" i="1"/>
  <c r="R12" i="1"/>
  <c r="M12" i="1" a="1"/>
  <c r="M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<sst xmlns="http://schemas.openxmlformats.org/spreadsheetml/2006/main" count="118" uniqueCount="65">
  <si>
    <t>Order ID</t>
  </si>
  <si>
    <t>Date</t>
  </si>
  <si>
    <t>Category</t>
  </si>
  <si>
    <t>Product</t>
  </si>
  <si>
    <t>Discount %</t>
  </si>
  <si>
    <t>TN1001</t>
  </si>
  <si>
    <t>Electronics</t>
  </si>
  <si>
    <t>Wireless Mouse</t>
  </si>
  <si>
    <t>TN1002</t>
  </si>
  <si>
    <t>Keyboard</t>
  </si>
  <si>
    <t>TN1003</t>
  </si>
  <si>
    <t>Clothing</t>
  </si>
  <si>
    <t>T-Shirt</t>
  </si>
  <si>
    <t>TN1004</t>
  </si>
  <si>
    <t>Home &amp; Kitchen</t>
  </si>
  <si>
    <t>Electric Kettle</t>
  </si>
  <si>
    <t>TN1005</t>
  </si>
  <si>
    <t>Beauty</t>
  </si>
  <si>
    <t>Face Wash</t>
  </si>
  <si>
    <t>TN1006</t>
  </si>
  <si>
    <t>Bluetooth Speaker</t>
  </si>
  <si>
    <t>TN1007</t>
  </si>
  <si>
    <t>Jeans</t>
  </si>
  <si>
    <t>TN1008</t>
  </si>
  <si>
    <t>Stationery</t>
  </si>
  <si>
    <t>Notebook Set</t>
  </si>
  <si>
    <t>TN1009</t>
  </si>
  <si>
    <t>Mixer Grinder</t>
  </si>
  <si>
    <t>TN1010</t>
  </si>
  <si>
    <t>Power Bank</t>
  </si>
  <si>
    <t>TN1011</t>
  </si>
  <si>
    <t>Shampoo</t>
  </si>
  <si>
    <t>TN1012</t>
  </si>
  <si>
    <t>Sneakers</t>
  </si>
  <si>
    <t>TN1013</t>
  </si>
  <si>
    <t>Pen Set</t>
  </si>
  <si>
    <t>TN1014</t>
  </si>
  <si>
    <t>Smart Watch</t>
  </si>
  <si>
    <t>TN1015</t>
  </si>
  <si>
    <t>Air Fryer</t>
  </si>
  <si>
    <t>Region</t>
  </si>
  <si>
    <t>City</t>
  </si>
  <si>
    <t>Selling Price ₹</t>
  </si>
  <si>
    <t>Cost Price ₹</t>
  </si>
  <si>
    <t>South</t>
  </si>
  <si>
    <t>Chennai</t>
  </si>
  <si>
    <t>Bangalore</t>
  </si>
  <si>
    <t>Hyderabad</t>
  </si>
  <si>
    <t>West</t>
  </si>
  <si>
    <t>Mumbai</t>
  </si>
  <si>
    <t>North</t>
  </si>
  <si>
    <t>Delhi</t>
  </si>
  <si>
    <t>Sales (Qty)</t>
  </si>
  <si>
    <t xml:space="preserve">Revenue </t>
  </si>
  <si>
    <t xml:space="preserve">Profit </t>
  </si>
  <si>
    <t>Row Labels</t>
  </si>
  <si>
    <t xml:space="preserve">Sum of Revenue </t>
  </si>
  <si>
    <t>Grand Total</t>
  </si>
  <si>
    <t>Column Labels</t>
  </si>
  <si>
    <t xml:space="preserve">Electronics Total Revenue </t>
  </si>
  <si>
    <t xml:space="preserve">Clothing Total Revenue </t>
  </si>
  <si>
    <t xml:space="preserve">Home &amp; kitchen Total Revenue </t>
  </si>
  <si>
    <t xml:space="preserve">Beauty Total Revenue </t>
  </si>
  <si>
    <t xml:space="preserve">Stationary Total Revenue </t>
  </si>
  <si>
    <t xml:space="preserve">Top Performing Products - In Terms Of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</si>
</sst>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2" borderId="0" xfId="0" applyFill="1"/>
    <xf numFmtId="0" fontId="1" fillId="4" borderId="1" xfId="0" applyFont="1" applyFill="1" applyBorder="1" applyAlignment="1">
      <alignment horizontal="right" vertical="center" wrapText="1"/>
    </xf>
    <xf numFmtId="0" fontId="0" fillId="0" borderId="2" xfId="0" applyBorder="1"/>
    <xf numFmtId="0" fontId="1" fillId="4" borderId="4" xfId="0" applyFont="1" applyFill="1" applyBorder="1" applyAlignment="1">
      <alignment horizontal="right" vertical="center" wrapText="1"/>
    </xf>
    <xf numFmtId="0" fontId="1" fillId="4" borderId="5" xfId="0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0" borderId="9" xfId="0" applyBorder="1" applyAlignment="1">
      <alignment vertical="center" wrapText="1"/>
    </xf>
    <xf numFmtId="15" fontId="0" fillId="0" borderId="9" xfId="0" applyNumberFormat="1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3" fontId="0" fillId="0" borderId="9" xfId="0" applyNumberFormat="1" applyBorder="1" applyAlignment="1">
      <alignment horizontal="right" vertical="center" wrapText="1"/>
    </xf>
    <xf numFmtId="2" fontId="0" fillId="0" borderId="9" xfId="0" applyNumberFormat="1" applyBorder="1" applyAlignment="1">
      <alignment horizontal="right" vertical="center" wrapText="1"/>
    </xf>
    <xf numFmtId="0" fontId="0" fillId="0" borderId="9" xfId="0" applyBorder="1"/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right" vertical="center" wrapText="1"/>
    </xf>
    <xf numFmtId="0" fontId="1" fillId="4" borderId="1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1.xlsx]Pivot table summary 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summary '!$B$3:$B$4</c:f>
              <c:strCache>
                <c:ptCount val="1"/>
                <c:pt idx="0">
                  <c:v>Air Fryer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'!$B$5:$B$10</c:f>
              <c:numCache>
                <c:formatCode>General</c:formatCode>
                <c:ptCount val="5"/>
                <c:pt idx="4">
                  <c:v>14999.699999999999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0-4C14-9D29-CEF229F7814C}"/>
            </c:ext>
          </c:extLst>
        </c:ser>
        <c:ser>
          <c:idx val="1"/>
          <c:order val="1"/>
          <c:tx>
            <c:strRef>
              <c:f>'Pivot table summary '!$C$3:$C$4</c:f>
              <c:strCache>
                <c:ptCount val="1"/>
                <c:pt idx="0">
                  <c:v>Bluetooth Speaker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'!$C$5:$C$10</c:f>
              <c:numCache>
                <c:formatCode>General</c:formatCode>
                <c:ptCount val="5"/>
                <c:pt idx="1">
                  <c:v>13999.300000000001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0-4C14-9D29-CEF229F7814C}"/>
            </c:ext>
          </c:extLst>
        </c:ser>
        <c:ser>
          <c:idx val="2"/>
          <c:order val="2"/>
          <c:tx>
            <c:strRef>
              <c:f>'Pivot table summary '!$D$3:$D$4</c:f>
              <c:strCache>
                <c:ptCount val="1"/>
                <c:pt idx="0">
                  <c:v>Electric Kettle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'!$D$5:$D$10</c:f>
              <c:numCache>
                <c:formatCode>General</c:formatCode>
                <c:ptCount val="5"/>
                <c:pt idx="4">
                  <c:v>7499.6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0-4C14-9D29-CEF229F7814C}"/>
            </c:ext>
          </c:extLst>
        </c:ser>
        <c:ser>
          <c:idx val="3"/>
          <c:order val="3"/>
          <c:tx>
            <c:strRef>
              <c:f>'Pivot table summary '!$E$3:$E$4</c:f>
              <c:strCache>
                <c:ptCount val="1"/>
                <c:pt idx="0">
                  <c:v>Face Wash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'!$E$5:$E$10</c:f>
              <c:numCache>
                <c:formatCode>General</c:formatCode>
                <c:ptCount val="5"/>
                <c:pt idx="2">
                  <c:v>5249.25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E0-4C14-9D29-CEF229F7814C}"/>
            </c:ext>
          </c:extLst>
        </c:ser>
        <c:ser>
          <c:idx val="4"/>
          <c:order val="4"/>
          <c:tx>
            <c:strRef>
              <c:f>'Pivot table summary '!$F$3:$F$4</c:f>
              <c:strCache>
                <c:ptCount val="1"/>
                <c:pt idx="0">
                  <c:v>Jeans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'!$F$5:$F$10</c:f>
              <c:numCache>
                <c:formatCode>General</c:formatCode>
                <c:ptCount val="5"/>
                <c:pt idx="4">
                  <c:v>8999.7000000000007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E0-4C14-9D29-CEF229F7814C}"/>
            </c:ext>
          </c:extLst>
        </c:ser>
        <c:ser>
          <c:idx val="5"/>
          <c:order val="5"/>
          <c:tx>
            <c:strRef>
              <c:f>'Pivot table summary '!$G$3:$G$4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'!$G$5:$G$10</c:f>
              <c:numCache>
                <c:formatCode>General</c:formatCode>
                <c:ptCount val="5"/>
                <c:pt idx="0">
                  <c:v>7199.4000000000005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E0-4C14-9D29-CEF229F7814C}"/>
            </c:ext>
          </c:extLst>
        </c:ser>
        <c:ser>
          <c:idx val="6"/>
          <c:order val="6"/>
          <c:tx>
            <c:strRef>
              <c:f>'Pivot table summary '!$H$3:$H$4</c:f>
              <c:strCache>
                <c:ptCount val="1"/>
                <c:pt idx="0">
                  <c:v>Mixer Grinder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'!$H$5:$H$10</c:f>
              <c:numCache>
                <c:formatCode>General</c:formatCode>
                <c:ptCount val="5"/>
                <c:pt idx="2">
                  <c:v>17999.599999999999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E0-4C14-9D29-CEF229F7814C}"/>
            </c:ext>
          </c:extLst>
        </c:ser>
        <c:ser>
          <c:idx val="7"/>
          <c:order val="7"/>
          <c:tx>
            <c:strRef>
              <c:f>'Pivot table summary '!$I$3:$I$4</c:f>
              <c:strCache>
                <c:ptCount val="1"/>
                <c:pt idx="0">
                  <c:v>Notebook Set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'!$I$5:$I$10</c:f>
              <c:numCache>
                <c:formatCode>General</c:formatCode>
                <c:ptCount val="5"/>
                <c:pt idx="0">
                  <c:v>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E0-4C14-9D29-CEF229F78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864207"/>
        <c:axId val="1252869487"/>
      </c:barChart>
      <c:lineChart>
        <c:grouping val="standard"/>
        <c:varyColors val="0"/>
        <c:ser>
          <c:idx val="8"/>
          <c:order val="8"/>
          <c:tx>
            <c:strRef>
              <c:f>'Pivot table summary '!$J$3:$J$4</c:f>
              <c:strCache>
                <c:ptCount val="1"/>
                <c:pt idx="0">
                  <c:v>Pen Set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'!$J$5:$J$10</c:f>
              <c:numCache>
                <c:formatCode>General</c:formatCode>
                <c:ptCount val="5"/>
                <c:pt idx="3">
                  <c:v>2998.75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E0-4C14-9D29-CEF229F7814C}"/>
            </c:ext>
          </c:extLst>
        </c:ser>
        <c:ser>
          <c:idx val="9"/>
          <c:order val="9"/>
          <c:tx>
            <c:strRef>
              <c:f>'Pivot table summary '!$K$3:$K$4</c:f>
              <c:strCache>
                <c:ptCount val="1"/>
                <c:pt idx="0">
                  <c:v>Power Bank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'!$K$5:$K$10</c:f>
              <c:numCache>
                <c:formatCode>General</c:formatCode>
                <c:ptCount val="5"/>
                <c:pt idx="4">
                  <c:v>9999.5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E0-4C14-9D29-CEF229F7814C}"/>
            </c:ext>
          </c:extLst>
        </c:ser>
        <c:ser>
          <c:idx val="10"/>
          <c:order val="10"/>
          <c:tx>
            <c:strRef>
              <c:f>'Pivot table summary '!$L$3:$L$4</c:f>
              <c:strCache>
                <c:ptCount val="1"/>
                <c:pt idx="0">
                  <c:v>Shampoo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'!$L$5:$L$10</c:f>
              <c:numCache>
                <c:formatCode>General</c:formatCode>
                <c:ptCount val="5"/>
                <c:pt idx="1">
                  <c:v>8099.0999999999995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E0-4C14-9D29-CEF229F7814C}"/>
            </c:ext>
          </c:extLst>
        </c:ser>
        <c:ser>
          <c:idx val="11"/>
          <c:order val="11"/>
          <c:tx>
            <c:strRef>
              <c:f>'Pivot table summary '!$M$3:$M$4</c:f>
              <c:strCache>
                <c:ptCount val="1"/>
                <c:pt idx="0">
                  <c:v>Smart Watch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'!$M$5:$M$10</c:f>
              <c:numCache>
                <c:formatCode>General</c:formatCode>
                <c:ptCount val="5"/>
                <c:pt idx="0">
                  <c:v>20999.52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E0-4C14-9D29-CEF229F7814C}"/>
            </c:ext>
          </c:extLst>
        </c:ser>
        <c:ser>
          <c:idx val="12"/>
          <c:order val="12"/>
          <c:tx>
            <c:strRef>
              <c:f>'Pivot table summary '!$N$3:$N$4</c:f>
              <c:strCache>
                <c:ptCount val="1"/>
                <c:pt idx="0">
                  <c:v>Sneakers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'!$N$5:$N$10</c:f>
              <c:numCache>
                <c:formatCode>General</c:formatCode>
                <c:ptCount val="5"/>
                <c:pt idx="2">
                  <c:v>12499.5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2E0-4C14-9D29-CEF229F7814C}"/>
            </c:ext>
          </c:extLst>
        </c:ser>
        <c:ser>
          <c:idx val="13"/>
          <c:order val="13"/>
          <c:tx>
            <c:strRef>
              <c:f>'Pivot table summary '!$O$3:$O$4</c:f>
              <c:strCache>
                <c:ptCount val="1"/>
                <c:pt idx="0">
                  <c:v>T-Shirt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'!$O$5:$O$10</c:f>
              <c:numCache>
                <c:formatCode>General</c:formatCode>
                <c:ptCount val="5"/>
                <c:pt idx="3">
                  <c:v>7199.4000000000005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2E0-4C14-9D29-CEF229F7814C}"/>
            </c:ext>
          </c:extLst>
        </c:ser>
        <c:ser>
          <c:idx val="14"/>
          <c:order val="14"/>
          <c:tx>
            <c:strRef>
              <c:f>'Pivot table summary '!$P$3:$P$4</c:f>
              <c:strCache>
                <c:ptCount val="1"/>
                <c:pt idx="0">
                  <c:v>Wireless Mouse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 summary '!$A$5:$A$10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 summary '!$P$5:$P$10</c:f>
              <c:numCache>
                <c:formatCode>General</c:formatCode>
                <c:ptCount val="5"/>
                <c:pt idx="1">
                  <c:v>5999.6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2E0-4C14-9D29-CEF229F78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864207"/>
        <c:axId val="1252869487"/>
      </c:lineChart>
      <c:catAx>
        <c:axId val="125286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869487"/>
        <c:crosses val="autoZero"/>
        <c:auto val="1"/>
        <c:lblAlgn val="ctr"/>
        <c:lblOffset val="100"/>
        <c:noMultiLvlLbl val="0"/>
      </c:catAx>
      <c:valAx>
        <c:axId val="12528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86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11</xdr:row>
      <xdr:rowOff>64770</xdr:rowOff>
    </xdr:from>
    <xdr:to>
      <xdr:col>8</xdr:col>
      <xdr:colOff>708660</xdr:colOff>
      <xdr:row>26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C0BC9-4B5B-304F-A51C-CC8ACFF1B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 Nandhini" refreshedDate="46298.482816319447" createdVersion="8" refreshedVersion="8" minRefreshableVersion="3" recordCount="15" xr:uid="{6C54562D-CD5C-4CB5-BD3E-7B35E3B1B01D}">
  <cacheSource type="worksheet">
    <worksheetSource ref="B11:M26" sheet="Sheet1"/>
  </cacheSource>
  <cacheFields count="12">
    <cacheField name="Order ID" numFmtId="0">
      <sharedItems/>
    </cacheField>
    <cacheField name="Date" numFmtId="15">
      <sharedItems containsSemiMixedTypes="0" containsNonDate="0" containsDate="1" containsString="0" minDate="2026-01-05T00:00:00" maxDate="2026-04-01T00:00:00"/>
    </cacheField>
    <cacheField name="Region" numFmtId="0">
      <sharedItems/>
    </cacheField>
    <cacheField name="City" numFmtId="0">
      <sharedItems count="5">
        <s v="Chennai"/>
        <s v="Bangalore"/>
        <s v="Hyderabad"/>
        <s v="Mumbai"/>
        <s v="Delhi"/>
      </sharedItems>
    </cacheField>
    <cacheField name="Category" numFmtId="0">
      <sharedItems/>
    </cacheField>
    <cacheField name="Product" numFmtId="0">
      <sharedItems count="15">
        <s v="Wireless Mouse"/>
        <s v="Keyboard"/>
        <s v="T-Shirt"/>
        <s v="Electric Kettle"/>
        <s v="Face Wash"/>
        <s v="Bluetooth Speaker"/>
        <s v="Jeans"/>
        <s v="Notebook Set"/>
        <s v="Mixer Grinder"/>
        <s v="Power Bank"/>
        <s v="Shampoo"/>
        <s v="Sneakers"/>
        <s v="Pen Set"/>
        <s v="Smart Watch"/>
        <s v="Air Fryer"/>
      </sharedItems>
    </cacheField>
    <cacheField name="Sales (Qty)" numFmtId="0">
      <sharedItems containsSemiMixedTypes="0" containsString="0" containsNumber="1" containsInteger="1" minValue="3" maxValue="25" count="12">
        <n v="8"/>
        <n v="6"/>
        <n v="12"/>
        <n v="5"/>
        <n v="15"/>
        <n v="7"/>
        <n v="20"/>
        <n v="4"/>
        <n v="10"/>
        <n v="18"/>
        <n v="25"/>
        <n v="3"/>
      </sharedItems>
    </cacheField>
    <cacheField name="Selling Price ₹" numFmtId="0">
      <sharedItems containsSemiMixedTypes="0" containsString="0" containsNumber="1" containsInteger="1" minValue="120" maxValue="5000"/>
    </cacheField>
    <cacheField name="Cost Price ₹" numFmtId="0">
      <sharedItems containsSemiMixedTypes="0" containsString="0" containsNumber="1" containsInteger="1" minValue="60" maxValue="3500"/>
    </cacheField>
    <cacheField name="Discount %" numFmtId="2">
      <sharedItems containsSemiMixedTypes="0" containsString="0" containsNumber="1" minValue="0.05" maxValue="0.1"/>
    </cacheField>
    <cacheField name="Revenue " numFmtId="0">
      <sharedItems containsSemiMixedTypes="0" containsString="0" containsNumber="1" minValue="2998.75" maxValue="20999.52"/>
    </cacheField>
    <cacheField name="Profit " numFmtId="0">
      <sharedItems containsSemiMixedTypes="0" containsString="0" containsNumber="1" minValue="2938.75" maxValue="18599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TN1001"/>
    <d v="2026-01-05T00:00:00"/>
    <s v="South"/>
    <x v="0"/>
    <s v="Electronics"/>
    <x v="0"/>
    <x v="0"/>
    <n v="750"/>
    <n v="500"/>
    <n v="0.05"/>
    <n v="5999.6"/>
    <n v="5499.6"/>
  </r>
  <r>
    <s v="TN1002"/>
    <d v="2026-01-08T00:00:00"/>
    <s v="South"/>
    <x v="1"/>
    <s v="Electronics"/>
    <x v="1"/>
    <x v="1"/>
    <n v="1200"/>
    <n v="800"/>
    <n v="0.1"/>
    <n v="7199.4000000000005"/>
    <n v="6399.4000000000005"/>
  </r>
  <r>
    <s v="TN1003"/>
    <d v="2026-01-12T00:00:00"/>
    <s v="South"/>
    <x v="2"/>
    <s v="Clothing"/>
    <x v="2"/>
    <x v="2"/>
    <n v="600"/>
    <n v="350"/>
    <n v="0.05"/>
    <n v="7199.4000000000005"/>
    <n v="6849.4000000000005"/>
  </r>
  <r>
    <s v="TN1004"/>
    <d v="2026-01-18T00:00:00"/>
    <s v="West"/>
    <x v="3"/>
    <s v="Home &amp; Kitchen"/>
    <x v="3"/>
    <x v="3"/>
    <n v="1500"/>
    <n v="1000"/>
    <n v="0.08"/>
    <n v="7499.6"/>
    <n v="6499.6"/>
  </r>
  <r>
    <s v="TN1005"/>
    <d v="2026-01-25T00:00:00"/>
    <s v="North"/>
    <x v="4"/>
    <s v="Beauty"/>
    <x v="4"/>
    <x v="4"/>
    <n v="350"/>
    <n v="200"/>
    <n v="0.05"/>
    <n v="5249.25"/>
    <n v="5049.25"/>
  </r>
  <r>
    <s v="TN1006"/>
    <d v="2026-02-02T00:00:00"/>
    <s v="South"/>
    <x v="0"/>
    <s v="Electronics"/>
    <x v="5"/>
    <x v="5"/>
    <n v="2000"/>
    <n v="1300"/>
    <n v="0.1"/>
    <n v="13999.300000000001"/>
    <n v="12699.300000000001"/>
  </r>
  <r>
    <s v="TN1007"/>
    <d v="2026-02-07T00:00:00"/>
    <s v="West"/>
    <x v="3"/>
    <s v="Clothing"/>
    <x v="6"/>
    <x v="1"/>
    <n v="1500"/>
    <n v="900"/>
    <n v="0.05"/>
    <n v="8999.7000000000007"/>
    <n v="8099.7000000000007"/>
  </r>
  <r>
    <s v="TN1008"/>
    <d v="2026-02-14T00:00:00"/>
    <s v="South"/>
    <x v="1"/>
    <s v="Stationery"/>
    <x v="7"/>
    <x v="6"/>
    <n v="250"/>
    <n v="140"/>
    <n v="0.05"/>
    <n v="4999"/>
    <n v="4859"/>
  </r>
  <r>
    <s v="TN1009"/>
    <d v="2026-02-21T00:00:00"/>
    <s v="North"/>
    <x v="4"/>
    <s v="Home &amp; Kitchen"/>
    <x v="8"/>
    <x v="7"/>
    <n v="4500"/>
    <n v="3200"/>
    <n v="0.1"/>
    <n v="17999.599999999999"/>
    <n v="14799.599999999999"/>
  </r>
  <r>
    <s v="TN1010"/>
    <d v="2026-03-03T00:00:00"/>
    <s v="West"/>
    <x v="3"/>
    <s v="Electronics"/>
    <x v="9"/>
    <x v="8"/>
    <n v="1000"/>
    <n v="650"/>
    <n v="0.05"/>
    <n v="9999.5"/>
    <n v="9349.5"/>
  </r>
  <r>
    <s v="TN1011"/>
    <d v="2026-03-10T00:00:00"/>
    <s v="South"/>
    <x v="0"/>
    <s v="Beauty"/>
    <x v="10"/>
    <x v="9"/>
    <n v="450"/>
    <n v="280"/>
    <n v="0.05"/>
    <n v="8099.0999999999995"/>
    <n v="7819.0999999999995"/>
  </r>
  <r>
    <s v="TN1012"/>
    <d v="2026-03-16T00:00:00"/>
    <s v="North"/>
    <x v="4"/>
    <s v="Clothing"/>
    <x v="11"/>
    <x v="3"/>
    <n v="2500"/>
    <n v="1600"/>
    <n v="0.1"/>
    <n v="12499.5"/>
    <n v="10899.5"/>
  </r>
  <r>
    <s v="TN1013"/>
    <d v="2026-03-22T00:00:00"/>
    <s v="South"/>
    <x v="2"/>
    <s v="Stationery"/>
    <x v="12"/>
    <x v="10"/>
    <n v="120"/>
    <n v="60"/>
    <n v="0.05"/>
    <n v="2998.75"/>
    <n v="2938.75"/>
  </r>
  <r>
    <s v="TN1014"/>
    <d v="2026-03-28T00:00:00"/>
    <s v="South"/>
    <x v="1"/>
    <s v="Electronics"/>
    <x v="13"/>
    <x v="1"/>
    <n v="3500"/>
    <n v="2400"/>
    <n v="0.08"/>
    <n v="20999.52"/>
    <n v="18599.52"/>
  </r>
  <r>
    <s v="TN1015"/>
    <d v="2026-03-31T00:00:00"/>
    <s v="West"/>
    <x v="3"/>
    <s v="Home &amp; Kitchen"/>
    <x v="14"/>
    <x v="11"/>
    <n v="5000"/>
    <n v="3500"/>
    <n v="0.1"/>
    <n v="14999.699999999999"/>
    <n v="11499.6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B0138-9419-4AF6-BF68-0BC99428CF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Q10" firstHeaderRow="1" firstDataRow="2" firstDataCol="1"/>
  <pivotFields count="12">
    <pivotField showAll="0"/>
    <pivotField numFmtId="15"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axis="axisCol" showAll="0">
      <items count="16">
        <item x="14"/>
        <item x="5"/>
        <item x="3"/>
        <item x="4"/>
        <item x="6"/>
        <item x="1"/>
        <item x="8"/>
        <item x="7"/>
        <item x="12"/>
        <item x="9"/>
        <item x="10"/>
        <item x="13"/>
        <item x="11"/>
        <item x="2"/>
        <item x="0"/>
        <item t="default"/>
      </items>
    </pivotField>
    <pivotField showAll="0">
      <items count="13">
        <item x="11"/>
        <item x="7"/>
        <item x="3"/>
        <item x="1"/>
        <item x="5"/>
        <item x="0"/>
        <item x="8"/>
        <item x="2"/>
        <item x="4"/>
        <item x="9"/>
        <item x="6"/>
        <item x="10"/>
        <item t="default"/>
      </items>
    </pivotField>
    <pivotField showAll="0"/>
    <pivotField showAll="0"/>
    <pivotField numFmtId="2"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Revenue " fld="10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R30"/>
  <sheetViews>
    <sheetView topLeftCell="A5" zoomScale="87" workbookViewId="0">
      <selection activeCell="O23" sqref="O23"/>
    </sheetView>
  </sheetViews>
  <sheetFormatPr defaultRowHeight="14.4" x14ac:dyDescent="0.3"/>
  <cols>
    <col min="3" max="3" width="9.6640625" bestFit="1" customWidth="1"/>
    <col min="5" max="5" width="11" customWidth="1"/>
    <col min="6" max="6" width="13.33203125" customWidth="1"/>
    <col min="7" max="7" width="15.5546875" customWidth="1"/>
    <col min="8" max="8" width="10.109375" customWidth="1"/>
    <col min="9" max="9" width="9.33203125" customWidth="1"/>
    <col min="10" max="10" width="11.6640625" customWidth="1"/>
    <col min="11" max="11" width="10.5546875" customWidth="1"/>
    <col min="12" max="12" width="9.88671875" customWidth="1"/>
    <col min="13" max="13" width="11.21875" customWidth="1"/>
    <col min="14" max="14" width="13.21875" customWidth="1"/>
    <col min="15" max="15" width="14.33203125" customWidth="1"/>
    <col min="16" max="16" width="15.77734375" customWidth="1"/>
    <col min="17" max="17" width="13.6640625" customWidth="1"/>
    <col min="18" max="18" width="14.88671875" customWidth="1"/>
  </cols>
  <sheetData>
    <row r="8" spans="2:18" ht="15" thickBot="1" x14ac:dyDescent="0.35">
      <c r="J8">
        <v>6</v>
      </c>
    </row>
    <row r="9" spans="2:18" ht="18.600000000000001" thickBot="1" x14ac:dyDescent="0.4">
      <c r="O9" s="20" t="s">
        <v>64</v>
      </c>
      <c r="P9" s="21"/>
      <c r="Q9" s="21"/>
      <c r="R9" s="22"/>
    </row>
    <row r="10" spans="2:18" ht="15" thickBot="1" x14ac:dyDescent="0.35"/>
    <row r="11" spans="2:18" ht="43.8" thickBot="1" x14ac:dyDescent="0.35">
      <c r="B11" s="29" t="s">
        <v>0</v>
      </c>
      <c r="C11" s="30" t="s">
        <v>1</v>
      </c>
      <c r="D11" s="30" t="s">
        <v>40</v>
      </c>
      <c r="E11" s="30" t="s">
        <v>41</v>
      </c>
      <c r="F11" s="30" t="s">
        <v>2</v>
      </c>
      <c r="G11" s="30" t="s">
        <v>3</v>
      </c>
      <c r="H11" s="31" t="s">
        <v>52</v>
      </c>
      <c r="I11" s="31" t="s">
        <v>42</v>
      </c>
      <c r="J11" s="31" t="s">
        <v>43</v>
      </c>
      <c r="K11" s="31" t="s">
        <v>4</v>
      </c>
      <c r="L11" s="31" t="s">
        <v>53</v>
      </c>
      <c r="M11" s="32" t="s">
        <v>54</v>
      </c>
      <c r="O11" s="19" t="s">
        <v>59</v>
      </c>
      <c r="P11" s="17" t="s">
        <v>60</v>
      </c>
      <c r="Q11" s="17" t="s">
        <v>61</v>
      </c>
      <c r="R11" s="18" t="s">
        <v>62</v>
      </c>
    </row>
    <row r="12" spans="2:18" x14ac:dyDescent="0.3">
      <c r="B12" s="1" t="s">
        <v>5</v>
      </c>
      <c r="C12" s="2">
        <v>46027</v>
      </c>
      <c r="D12" s="1" t="s">
        <v>44</v>
      </c>
      <c r="E12" s="1" t="s">
        <v>45</v>
      </c>
      <c r="F12" s="1" t="s">
        <v>6</v>
      </c>
      <c r="G12" s="1" t="s">
        <v>7</v>
      </c>
      <c r="H12" s="3">
        <v>8</v>
      </c>
      <c r="I12" s="3">
        <v>750</v>
      </c>
      <c r="J12" s="3">
        <v>500</v>
      </c>
      <c r="K12" s="5">
        <v>0.05</v>
      </c>
      <c r="L12" s="6" cm="1">
        <f t="array" ref="L12:L26">(I12:I26-K12:K26)*H12:H26</f>
        <v>5999.6</v>
      </c>
      <c r="M12" s="6" cm="1">
        <f t="array" ref="M12:M26">L12:L26-J12:J26</f>
        <v>5499.6</v>
      </c>
      <c r="O12" s="16">
        <f>SUMIF(F12:F26,F12,L12:L26)</f>
        <v>58197.320000000007</v>
      </c>
      <c r="P12" s="16">
        <f>SUMIF(F12:F26,F14,L12:L26)</f>
        <v>28698.600000000002</v>
      </c>
      <c r="Q12" s="16">
        <f>SUMIF(F12:F26,F15,L12:L26)</f>
        <v>40498.899999999994</v>
      </c>
      <c r="R12" s="16">
        <f>SUMIF(F12:F26,F16,L12:L26)</f>
        <v>13348.349999999999</v>
      </c>
    </row>
    <row r="13" spans="2:18" x14ac:dyDescent="0.3">
      <c r="B13" s="1" t="s">
        <v>8</v>
      </c>
      <c r="C13" s="2">
        <v>46030</v>
      </c>
      <c r="D13" s="1" t="s">
        <v>44</v>
      </c>
      <c r="E13" s="1" t="s">
        <v>46</v>
      </c>
      <c r="F13" s="1" t="s">
        <v>6</v>
      </c>
      <c r="G13" s="1" t="s">
        <v>9</v>
      </c>
      <c r="H13" s="3">
        <v>6</v>
      </c>
      <c r="I13" s="4">
        <v>1200</v>
      </c>
      <c r="J13" s="3">
        <v>800</v>
      </c>
      <c r="K13" s="5">
        <v>0.1</v>
      </c>
      <c r="L13" s="6">
        <v>7199.4000000000005</v>
      </c>
      <c r="M13" s="6">
        <v>6399.4000000000005</v>
      </c>
    </row>
    <row r="14" spans="2:18" x14ac:dyDescent="0.3">
      <c r="B14" s="1" t="s">
        <v>10</v>
      </c>
      <c r="C14" s="2">
        <v>46034</v>
      </c>
      <c r="D14" s="1" t="s">
        <v>44</v>
      </c>
      <c r="E14" s="1" t="s">
        <v>47</v>
      </c>
      <c r="F14" s="1" t="s">
        <v>11</v>
      </c>
      <c r="G14" s="1" t="s">
        <v>12</v>
      </c>
      <c r="H14" s="3">
        <v>12</v>
      </c>
      <c r="I14" s="3">
        <v>600</v>
      </c>
      <c r="J14" s="3">
        <v>350</v>
      </c>
      <c r="K14" s="5">
        <v>0.05</v>
      </c>
      <c r="L14" s="6">
        <v>7199.4000000000005</v>
      </c>
      <c r="M14" s="6">
        <v>6849.4000000000005</v>
      </c>
    </row>
    <row r="15" spans="2:18" ht="28.8" x14ac:dyDescent="0.3">
      <c r="B15" s="1" t="s">
        <v>13</v>
      </c>
      <c r="C15" s="2">
        <v>46040</v>
      </c>
      <c r="D15" s="1" t="s">
        <v>48</v>
      </c>
      <c r="E15" s="1" t="s">
        <v>49</v>
      </c>
      <c r="F15" s="1" t="s">
        <v>14</v>
      </c>
      <c r="G15" s="1" t="s">
        <v>15</v>
      </c>
      <c r="H15" s="3">
        <v>5</v>
      </c>
      <c r="I15" s="4">
        <v>1500</v>
      </c>
      <c r="J15" s="4">
        <v>1000</v>
      </c>
      <c r="K15" s="5">
        <v>0.08</v>
      </c>
      <c r="L15" s="6">
        <v>7499.6</v>
      </c>
      <c r="M15" s="6">
        <v>6499.6</v>
      </c>
      <c r="O15" s="15" t="s">
        <v>63</v>
      </c>
    </row>
    <row r="16" spans="2:18" x14ac:dyDescent="0.3">
      <c r="B16" s="1" t="s">
        <v>16</v>
      </c>
      <c r="C16" s="2">
        <v>46047</v>
      </c>
      <c r="D16" s="1" t="s">
        <v>50</v>
      </c>
      <c r="E16" s="1" t="s">
        <v>51</v>
      </c>
      <c r="F16" s="1" t="s">
        <v>17</v>
      </c>
      <c r="G16" s="1" t="s">
        <v>18</v>
      </c>
      <c r="H16" s="3">
        <v>15</v>
      </c>
      <c r="I16" s="3">
        <v>350</v>
      </c>
      <c r="J16" s="3">
        <v>200</v>
      </c>
      <c r="K16" s="5">
        <v>0.05</v>
      </c>
      <c r="L16" s="6">
        <v>5249.25</v>
      </c>
      <c r="M16" s="6">
        <v>5049.25</v>
      </c>
      <c r="O16" s="6">
        <f>SUMIF(F12:F26,F19,L12:L26)</f>
        <v>7997.75</v>
      </c>
    </row>
    <row r="17" spans="2:13" ht="28.8" x14ac:dyDescent="0.3">
      <c r="B17" s="1" t="s">
        <v>19</v>
      </c>
      <c r="C17" s="2">
        <v>46055</v>
      </c>
      <c r="D17" s="1" t="s">
        <v>44</v>
      </c>
      <c r="E17" s="1" t="s">
        <v>45</v>
      </c>
      <c r="F17" s="1" t="s">
        <v>6</v>
      </c>
      <c r="G17" s="1" t="s">
        <v>20</v>
      </c>
      <c r="H17" s="3">
        <v>7</v>
      </c>
      <c r="I17" s="4">
        <v>2000</v>
      </c>
      <c r="J17" s="4">
        <v>1300</v>
      </c>
      <c r="K17" s="5">
        <v>0.1</v>
      </c>
      <c r="L17" s="6">
        <v>13999.300000000001</v>
      </c>
      <c r="M17" s="6">
        <v>12699.300000000001</v>
      </c>
    </row>
    <row r="18" spans="2:13" x14ac:dyDescent="0.3">
      <c r="B18" s="1" t="s">
        <v>21</v>
      </c>
      <c r="C18" s="2">
        <v>46060</v>
      </c>
      <c r="D18" s="1" t="s">
        <v>48</v>
      </c>
      <c r="E18" s="1" t="s">
        <v>49</v>
      </c>
      <c r="F18" s="1" t="s">
        <v>11</v>
      </c>
      <c r="G18" s="1" t="s">
        <v>22</v>
      </c>
      <c r="H18" s="3">
        <v>6</v>
      </c>
      <c r="I18" s="4">
        <v>1500</v>
      </c>
      <c r="J18" s="3">
        <v>900</v>
      </c>
      <c r="K18" s="5">
        <v>0.05</v>
      </c>
      <c r="L18" s="6">
        <v>8999.7000000000007</v>
      </c>
      <c r="M18" s="6">
        <v>8099.7000000000007</v>
      </c>
    </row>
    <row r="19" spans="2:13" x14ac:dyDescent="0.3">
      <c r="B19" s="1" t="s">
        <v>23</v>
      </c>
      <c r="C19" s="2">
        <v>46067</v>
      </c>
      <c r="D19" s="1" t="s">
        <v>44</v>
      </c>
      <c r="E19" s="1" t="s">
        <v>46</v>
      </c>
      <c r="F19" s="1" t="s">
        <v>24</v>
      </c>
      <c r="G19" s="1" t="s">
        <v>25</v>
      </c>
      <c r="H19" s="3">
        <v>20</v>
      </c>
      <c r="I19" s="3">
        <v>250</v>
      </c>
      <c r="J19" s="3">
        <v>140</v>
      </c>
      <c r="K19" s="5">
        <v>0.05</v>
      </c>
      <c r="L19" s="6">
        <v>4999</v>
      </c>
      <c r="M19" s="6">
        <v>4859</v>
      </c>
    </row>
    <row r="20" spans="2:13" ht="28.8" x14ac:dyDescent="0.3">
      <c r="B20" s="1" t="s">
        <v>26</v>
      </c>
      <c r="C20" s="2">
        <v>46074</v>
      </c>
      <c r="D20" s="1" t="s">
        <v>50</v>
      </c>
      <c r="E20" s="1" t="s">
        <v>51</v>
      </c>
      <c r="F20" s="1" t="s">
        <v>14</v>
      </c>
      <c r="G20" s="1" t="s">
        <v>27</v>
      </c>
      <c r="H20" s="3">
        <v>4</v>
      </c>
      <c r="I20" s="4">
        <v>4500</v>
      </c>
      <c r="J20" s="4">
        <v>3200</v>
      </c>
      <c r="K20" s="5">
        <v>0.1</v>
      </c>
      <c r="L20" s="6">
        <v>17999.599999999999</v>
      </c>
      <c r="M20" s="6">
        <v>14799.599999999999</v>
      </c>
    </row>
    <row r="21" spans="2:13" x14ac:dyDescent="0.3">
      <c r="B21" s="1" t="s">
        <v>28</v>
      </c>
      <c r="C21" s="2">
        <v>46084</v>
      </c>
      <c r="D21" s="1" t="s">
        <v>48</v>
      </c>
      <c r="E21" s="1" t="s">
        <v>49</v>
      </c>
      <c r="F21" s="1" t="s">
        <v>6</v>
      </c>
      <c r="G21" s="1" t="s">
        <v>29</v>
      </c>
      <c r="H21" s="3">
        <v>10</v>
      </c>
      <c r="I21" s="4">
        <v>1000</v>
      </c>
      <c r="J21" s="3">
        <v>650</v>
      </c>
      <c r="K21" s="5">
        <v>0.05</v>
      </c>
      <c r="L21" s="6">
        <v>9999.5</v>
      </c>
      <c r="M21" s="6">
        <v>9349.5</v>
      </c>
    </row>
    <row r="22" spans="2:13" x14ac:dyDescent="0.3">
      <c r="B22" s="1" t="s">
        <v>30</v>
      </c>
      <c r="C22" s="2">
        <v>46091</v>
      </c>
      <c r="D22" s="1" t="s">
        <v>44</v>
      </c>
      <c r="E22" s="1" t="s">
        <v>45</v>
      </c>
      <c r="F22" s="1" t="s">
        <v>17</v>
      </c>
      <c r="G22" s="1" t="s">
        <v>31</v>
      </c>
      <c r="H22" s="3">
        <v>18</v>
      </c>
      <c r="I22" s="3">
        <v>450</v>
      </c>
      <c r="J22" s="3">
        <v>280</v>
      </c>
      <c r="K22" s="5">
        <v>0.05</v>
      </c>
      <c r="L22" s="6">
        <v>8099.0999999999995</v>
      </c>
      <c r="M22" s="6">
        <v>7819.0999999999995</v>
      </c>
    </row>
    <row r="23" spans="2:13" x14ac:dyDescent="0.3">
      <c r="B23" s="1" t="s">
        <v>32</v>
      </c>
      <c r="C23" s="2">
        <v>46097</v>
      </c>
      <c r="D23" s="1" t="s">
        <v>50</v>
      </c>
      <c r="E23" s="1" t="s">
        <v>51</v>
      </c>
      <c r="F23" s="1" t="s">
        <v>11</v>
      </c>
      <c r="G23" s="1" t="s">
        <v>33</v>
      </c>
      <c r="H23" s="3">
        <v>5</v>
      </c>
      <c r="I23" s="4">
        <v>2500</v>
      </c>
      <c r="J23" s="4">
        <v>1600</v>
      </c>
      <c r="K23" s="5">
        <v>0.1</v>
      </c>
      <c r="L23" s="6">
        <v>12499.5</v>
      </c>
      <c r="M23" s="6">
        <v>10899.5</v>
      </c>
    </row>
    <row r="24" spans="2:13" x14ac:dyDescent="0.3">
      <c r="B24" s="1" t="s">
        <v>34</v>
      </c>
      <c r="C24" s="2">
        <v>46103</v>
      </c>
      <c r="D24" s="1" t="s">
        <v>44</v>
      </c>
      <c r="E24" s="1" t="s">
        <v>47</v>
      </c>
      <c r="F24" s="1" t="s">
        <v>24</v>
      </c>
      <c r="G24" s="1" t="s">
        <v>35</v>
      </c>
      <c r="H24" s="3">
        <v>25</v>
      </c>
      <c r="I24" s="3">
        <v>120</v>
      </c>
      <c r="J24" s="3">
        <v>60</v>
      </c>
      <c r="K24" s="5">
        <v>0.05</v>
      </c>
      <c r="L24" s="6">
        <v>2998.75</v>
      </c>
      <c r="M24" s="6">
        <v>2938.75</v>
      </c>
    </row>
    <row r="25" spans="2:13" x14ac:dyDescent="0.3">
      <c r="B25" s="1" t="s">
        <v>36</v>
      </c>
      <c r="C25" s="2">
        <v>46109</v>
      </c>
      <c r="D25" s="1" t="s">
        <v>44</v>
      </c>
      <c r="E25" s="1" t="s">
        <v>46</v>
      </c>
      <c r="F25" s="1" t="s">
        <v>6</v>
      </c>
      <c r="G25" s="1" t="s">
        <v>37</v>
      </c>
      <c r="H25" s="3">
        <v>6</v>
      </c>
      <c r="I25" s="4">
        <v>3500</v>
      </c>
      <c r="J25" s="4">
        <v>2400</v>
      </c>
      <c r="K25" s="5">
        <v>0.08</v>
      </c>
      <c r="L25" s="6">
        <v>20999.52</v>
      </c>
      <c r="M25" s="6">
        <v>18599.52</v>
      </c>
    </row>
    <row r="26" spans="2:13" ht="29.4" thickBot="1" x14ac:dyDescent="0.35">
      <c r="B26" s="23" t="s">
        <v>38</v>
      </c>
      <c r="C26" s="24">
        <v>46112</v>
      </c>
      <c r="D26" s="23" t="s">
        <v>48</v>
      </c>
      <c r="E26" s="23" t="s">
        <v>49</v>
      </c>
      <c r="F26" s="23" t="s">
        <v>14</v>
      </c>
      <c r="G26" s="23" t="s">
        <v>39</v>
      </c>
      <c r="H26" s="25">
        <v>3</v>
      </c>
      <c r="I26" s="26">
        <v>5000</v>
      </c>
      <c r="J26" s="26">
        <v>3500</v>
      </c>
      <c r="K26" s="27">
        <v>0.1</v>
      </c>
      <c r="L26" s="28">
        <v>14999.699999999999</v>
      </c>
      <c r="M26" s="28">
        <v>11499.699999999999</v>
      </c>
    </row>
    <row r="27" spans="2:13" ht="15" thickTop="1" x14ac:dyDescent="0.3">
      <c r="B27" s="9"/>
      <c r="C27" s="10"/>
      <c r="D27" s="9"/>
      <c r="E27" s="9"/>
      <c r="F27" s="9"/>
      <c r="G27" s="9"/>
      <c r="H27" s="11"/>
      <c r="I27" s="12"/>
      <c r="J27" s="12"/>
      <c r="K27" s="13"/>
    </row>
    <row r="30" spans="2:13" x14ac:dyDescent="0.3">
      <c r="L30" s="14"/>
    </row>
  </sheetData>
  <mergeCells count="1">
    <mergeCell ref="O9:R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4EE9-D8F4-4DB1-BBDE-A7C9386D13B2}">
  <dimension ref="A3:Q10"/>
  <sheetViews>
    <sheetView tabSelected="1" workbookViewId="0">
      <selection activeCell="B18" sqref="B18"/>
    </sheetView>
  </sheetViews>
  <sheetFormatPr defaultRowHeight="14.4" x14ac:dyDescent="0.3"/>
  <cols>
    <col min="1" max="1" width="15.33203125" bestFit="1" customWidth="1"/>
    <col min="2" max="2" width="15.5546875" bestFit="1" customWidth="1"/>
    <col min="3" max="3" width="16.6640625" bestFit="1" customWidth="1"/>
    <col min="4" max="4" width="12.33203125" bestFit="1" customWidth="1"/>
    <col min="5" max="5" width="9.88671875" bestFit="1" customWidth="1"/>
    <col min="6" max="6" width="7" bestFit="1" customWidth="1"/>
    <col min="7" max="7" width="9.109375" bestFit="1" customWidth="1"/>
    <col min="8" max="8" width="12.44140625" bestFit="1" customWidth="1"/>
    <col min="9" max="9" width="12.5546875" bestFit="1" customWidth="1"/>
    <col min="10" max="10" width="8" bestFit="1" customWidth="1"/>
    <col min="11" max="11" width="11" bestFit="1" customWidth="1"/>
    <col min="12" max="12" width="9.109375" bestFit="1" customWidth="1"/>
    <col min="13" max="13" width="11.88671875" bestFit="1" customWidth="1"/>
    <col min="14" max="14" width="8.5546875" bestFit="1" customWidth="1"/>
    <col min="15" max="15" width="7" bestFit="1" customWidth="1"/>
    <col min="16" max="16" width="14.21875" bestFit="1" customWidth="1"/>
    <col min="17" max="17" width="10.77734375" bestFit="1" customWidth="1"/>
  </cols>
  <sheetData>
    <row r="3" spans="1:17" x14ac:dyDescent="0.3">
      <c r="A3" s="7" t="s">
        <v>56</v>
      </c>
      <c r="B3" s="7" t="s">
        <v>58</v>
      </c>
    </row>
    <row r="4" spans="1:17" x14ac:dyDescent="0.3">
      <c r="A4" s="7" t="s">
        <v>55</v>
      </c>
      <c r="B4" t="s">
        <v>39</v>
      </c>
      <c r="C4" t="s">
        <v>20</v>
      </c>
      <c r="D4" t="s">
        <v>15</v>
      </c>
      <c r="E4" t="s">
        <v>18</v>
      </c>
      <c r="F4" t="s">
        <v>22</v>
      </c>
      <c r="G4" t="s">
        <v>9</v>
      </c>
      <c r="H4" t="s">
        <v>27</v>
      </c>
      <c r="I4" t="s">
        <v>25</v>
      </c>
      <c r="J4" t="s">
        <v>35</v>
      </c>
      <c r="K4" t="s">
        <v>29</v>
      </c>
      <c r="L4" t="s">
        <v>31</v>
      </c>
      <c r="M4" t="s">
        <v>37</v>
      </c>
      <c r="N4" t="s">
        <v>33</v>
      </c>
      <c r="O4" t="s">
        <v>12</v>
      </c>
      <c r="P4" t="s">
        <v>7</v>
      </c>
      <c r="Q4" t="s">
        <v>57</v>
      </c>
    </row>
    <row r="5" spans="1:17" x14ac:dyDescent="0.3">
      <c r="A5" s="8" t="s">
        <v>46</v>
      </c>
      <c r="G5">
        <v>7199.4000000000005</v>
      </c>
      <c r="I5">
        <v>4999</v>
      </c>
      <c r="M5">
        <v>20999.52</v>
      </c>
      <c r="Q5">
        <v>33197.919999999998</v>
      </c>
    </row>
    <row r="6" spans="1:17" x14ac:dyDescent="0.3">
      <c r="A6" s="8" t="s">
        <v>45</v>
      </c>
      <c r="C6">
        <v>13999.300000000001</v>
      </c>
      <c r="L6">
        <v>8099.0999999999995</v>
      </c>
      <c r="P6">
        <v>5999.6</v>
      </c>
      <c r="Q6">
        <v>28098</v>
      </c>
    </row>
    <row r="7" spans="1:17" x14ac:dyDescent="0.3">
      <c r="A7" s="8" t="s">
        <v>51</v>
      </c>
      <c r="E7">
        <v>5249.25</v>
      </c>
      <c r="H7">
        <v>17999.599999999999</v>
      </c>
      <c r="N7">
        <v>12499.5</v>
      </c>
      <c r="Q7">
        <v>35748.35</v>
      </c>
    </row>
    <row r="8" spans="1:17" x14ac:dyDescent="0.3">
      <c r="A8" s="8" t="s">
        <v>47</v>
      </c>
      <c r="J8">
        <v>2998.75</v>
      </c>
      <c r="O8">
        <v>7199.4000000000005</v>
      </c>
      <c r="Q8">
        <v>10198.150000000001</v>
      </c>
    </row>
    <row r="9" spans="1:17" x14ac:dyDescent="0.3">
      <c r="A9" s="8" t="s">
        <v>49</v>
      </c>
      <c r="B9">
        <v>14999.699999999999</v>
      </c>
      <c r="D9">
        <v>7499.6</v>
      </c>
      <c r="F9">
        <v>8999.7000000000007</v>
      </c>
      <c r="K9">
        <v>9999.5</v>
      </c>
      <c r="Q9">
        <v>41498.5</v>
      </c>
    </row>
    <row r="10" spans="1:17" x14ac:dyDescent="0.3">
      <c r="A10" s="8" t="s">
        <v>57</v>
      </c>
      <c r="B10">
        <v>14999.699999999999</v>
      </c>
      <c r="C10">
        <v>13999.300000000001</v>
      </c>
      <c r="D10">
        <v>7499.6</v>
      </c>
      <c r="E10">
        <v>5249.25</v>
      </c>
      <c r="F10">
        <v>8999.7000000000007</v>
      </c>
      <c r="G10">
        <v>7199.4000000000005</v>
      </c>
      <c r="H10">
        <v>17999.599999999999</v>
      </c>
      <c r="I10">
        <v>4999</v>
      </c>
      <c r="J10">
        <v>2998.75</v>
      </c>
      <c r="K10">
        <v>9999.5</v>
      </c>
      <c r="L10">
        <v>8099.0999999999995</v>
      </c>
      <c r="M10">
        <v>20999.52</v>
      </c>
      <c r="N10">
        <v>12499.5</v>
      </c>
      <c r="O10">
        <v>7199.4000000000005</v>
      </c>
      <c r="P10">
        <v>5999.6</v>
      </c>
      <c r="Q10">
        <v>148740.91999999998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table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Nandhini</dc:creator>
  <cp:lastModifiedBy>Aishwarya Nandhini</cp:lastModifiedBy>
  <dcterms:created xsi:type="dcterms:W3CDTF">2015-06-05T18:17:20Z</dcterms:created>
  <dcterms:modified xsi:type="dcterms:W3CDTF">2026-10-12T13:52:54Z</dcterms:modified>
</cp:coreProperties>
</file>